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SW\참고자료\"/>
    </mc:Choice>
  </mc:AlternateContent>
  <xr:revisionPtr revIDLastSave="0" documentId="13_ncr:1_{3FD6F6E2-FD8E-4F2D-960A-87C6E141C0C3}" xr6:coauthVersionLast="36" xr6:coauthVersionMax="36" xr10:uidLastSave="{00000000-0000-0000-0000-000000000000}"/>
  <bookViews>
    <workbookView xWindow="0" yWindow="0" windowWidth="21570" windowHeight="8040" firstSheet="2" activeTab="5" xr2:uid="{00000000-000D-0000-FFFF-FFFF00000000}"/>
  </bookViews>
  <sheets>
    <sheet name="PNE" sheetId="5" r:id="rId1"/>
    <sheet name="CTS(20240905)" sheetId="9" r:id="rId2"/>
    <sheet name="CTS(20180615)" sheetId="11" r:id="rId3"/>
    <sheet name="CYC(20240905)" sheetId="8" r:id="rId4"/>
    <sheet name="Sheet4" sheetId="6" r:id="rId5"/>
    <sheet name="APRO" sheetId="3" r:id="rId6"/>
    <sheet name="Apro_분석내용" sheetId="4" r:id="rId7"/>
    <sheet name="Sheet1" sheetId="1" r:id="rId8"/>
    <sheet name="Sheet2" sheetId="2" r:id="rId9"/>
    <sheet name="Sheet5" sheetId="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3" i="11" l="1"/>
  <c r="E147" i="11" l="1"/>
  <c r="AD37" i="11" l="1"/>
  <c r="AD37" i="9"/>
  <c r="X154" i="9" l="1"/>
  <c r="F30" i="5" l="1"/>
  <c r="F31" i="5" s="1"/>
  <c r="F29" i="5"/>
  <c r="F28" i="5"/>
  <c r="M37" i="4" l="1"/>
  <c r="N37" i="4"/>
  <c r="O37" i="4"/>
  <c r="P38" i="4"/>
  <c r="M38" i="4"/>
  <c r="N38" i="4"/>
  <c r="O38" i="4"/>
  <c r="P37" i="4"/>
  <c r="K35" i="4"/>
  <c r="H32" i="4"/>
  <c r="G32" i="4"/>
  <c r="Q38" i="4" l="1"/>
  <c r="Q37" i="4"/>
  <c r="R37" i="4" s="1"/>
  <c r="S3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김동우(DONGWOO KIM)[pasillas-kim]</author>
  </authors>
  <commentList>
    <comment ref="H16" authorId="0" shapeId="0" xr:uid="{F275D8D0-B410-49E9-80E6-0D2C1738A6F7}">
      <text>
        <r>
          <rPr>
            <b/>
            <sz val="9"/>
            <color indexed="81"/>
            <rFont val="돋움"/>
            <family val="3"/>
            <charset val="129"/>
          </rPr>
          <t>방전은</t>
        </r>
        <r>
          <rPr>
            <b/>
            <sz val="9"/>
            <color indexed="81"/>
            <rFont val="Tahoma"/>
            <family val="2"/>
          </rPr>
          <t xml:space="preserve"> 10^-1 </t>
        </r>
        <r>
          <rPr>
            <b/>
            <sz val="9"/>
            <color indexed="81"/>
            <rFont val="돋움"/>
            <family val="3"/>
            <charset val="129"/>
          </rPr>
          <t>곱해줘야함
방전은</t>
        </r>
        <r>
          <rPr>
            <b/>
            <sz val="9"/>
            <color indexed="81"/>
            <rFont val="Tahoma"/>
            <family val="2"/>
          </rPr>
          <t xml:space="preserve"> 255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보수</t>
        </r>
      </text>
    </comment>
    <comment ref="D18" authorId="0" shapeId="0" xr:uid="{F0D4BDAD-257C-4F08-AF4C-F62C1ABEDB4D}">
      <text>
        <r>
          <rPr>
            <b/>
            <sz val="9"/>
            <color indexed="81"/>
            <rFont val="돋움"/>
            <family val="3"/>
            <charset val="129"/>
          </rPr>
          <t>방전의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255 </t>
        </r>
        <r>
          <rPr>
            <b/>
            <sz val="9"/>
            <color indexed="81"/>
            <rFont val="돋움"/>
            <family val="3"/>
            <charset val="129"/>
          </rPr>
          <t>보수</t>
        </r>
      </text>
    </comment>
    <comment ref="H24" authorId="0" shapeId="0" xr:uid="{4A34FFAE-97C2-43E2-BD3C-6FF0519CA20F}">
      <text>
        <r>
          <rPr>
            <b/>
            <sz val="9"/>
            <color indexed="81"/>
            <rFont val="돋움"/>
            <family val="3"/>
            <charset val="129"/>
          </rPr>
          <t>방전은</t>
        </r>
        <r>
          <rPr>
            <b/>
            <sz val="9"/>
            <color indexed="81"/>
            <rFont val="Tahoma"/>
            <family val="2"/>
          </rPr>
          <t xml:space="preserve"> 10^-1 </t>
        </r>
        <r>
          <rPr>
            <b/>
            <sz val="9"/>
            <color indexed="81"/>
            <rFont val="돋움"/>
            <family val="3"/>
            <charset val="129"/>
          </rPr>
          <t>곱해줘야함
방전은</t>
        </r>
        <r>
          <rPr>
            <b/>
            <sz val="9"/>
            <color indexed="81"/>
            <rFont val="Tahoma"/>
            <family val="2"/>
          </rPr>
          <t xml:space="preserve"> 255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보수</t>
        </r>
      </text>
    </comment>
  </commentList>
</comments>
</file>

<file path=xl/sharedStrings.xml><?xml version="1.0" encoding="utf-8"?>
<sst xmlns="http://schemas.openxmlformats.org/spreadsheetml/2006/main" count="732" uniqueCount="321">
  <si>
    <t>fb</t>
  </si>
  <si>
    <t>fa</t>
  </si>
  <si>
    <t>fc</t>
  </si>
  <si>
    <t>ff</t>
  </si>
  <si>
    <t>d1</t>
  </si>
  <si>
    <t>8a</t>
  </si>
  <si>
    <t>ee</t>
  </si>
  <si>
    <t>ed</t>
  </si>
  <si>
    <t>fe</t>
  </si>
  <si>
    <t>e2</t>
  </si>
  <si>
    <t>f5</t>
  </si>
  <si>
    <t>1e</t>
  </si>
  <si>
    <t>f9</t>
  </si>
  <si>
    <t>8b</t>
  </si>
  <si>
    <t>8e</t>
  </si>
  <si>
    <t>온도</t>
    <phoneticPr fontId="1" type="noConversion"/>
  </si>
  <si>
    <t>전류</t>
    <phoneticPr fontId="1" type="noConversion"/>
  </si>
  <si>
    <t>전압</t>
    <phoneticPr fontId="1" type="noConversion"/>
  </si>
  <si>
    <t>용량</t>
    <phoneticPr fontId="1" type="noConversion"/>
  </si>
  <si>
    <t>DCIR</t>
    <phoneticPr fontId="1" type="noConversion"/>
  </si>
  <si>
    <t>Time</t>
    <phoneticPr fontId="1" type="noConversion"/>
  </si>
  <si>
    <t>Watt</t>
    <phoneticPr fontId="1" type="noConversion"/>
  </si>
  <si>
    <t>평균전압</t>
    <phoneticPr fontId="1" type="noConversion"/>
  </si>
  <si>
    <t>방전WattHour</t>
    <phoneticPr fontId="1" type="noConversion"/>
  </si>
  <si>
    <t>총WattHour</t>
    <phoneticPr fontId="1" type="noConversion"/>
  </si>
  <si>
    <t>총용량</t>
    <phoneticPr fontId="1" type="noConversion"/>
  </si>
  <si>
    <t>WattHour</t>
    <phoneticPr fontId="1" type="noConversion"/>
  </si>
  <si>
    <t>충전WattHour</t>
    <phoneticPr fontId="1" type="noConversion"/>
  </si>
  <si>
    <t>방전용량</t>
    <phoneticPr fontId="1" type="noConversion"/>
  </si>
  <si>
    <t>충전용량</t>
    <phoneticPr fontId="1" type="noConversion"/>
  </si>
  <si>
    <t>평균전류</t>
    <phoneticPr fontId="1" type="noConversion"/>
  </si>
  <si>
    <t>Fault</t>
    <phoneticPr fontId="1" type="noConversion"/>
  </si>
  <si>
    <t>0x08</t>
    <phoneticPr fontId="1" type="noConversion"/>
  </si>
  <si>
    <t>0x1c</t>
    <phoneticPr fontId="1" type="noConversion"/>
  </si>
  <si>
    <t>START TIME=2020-12-12 14:04:49</t>
  </si>
  <si>
    <t>Module</t>
  </si>
  <si>
    <t>Channel</t>
  </si>
  <si>
    <t>StartTime</t>
  </si>
  <si>
    <t>EndTime</t>
  </si>
  <si>
    <t>StepNo</t>
  </si>
  <si>
    <t>StepType</t>
  </si>
  <si>
    <t>StateCode</t>
  </si>
  <si>
    <t>StepTime</t>
  </si>
  <si>
    <t>TotalTime</t>
  </si>
  <si>
    <t>Voltage</t>
  </si>
  <si>
    <t>Current</t>
  </si>
  <si>
    <t>Capacity</t>
  </si>
  <si>
    <t>Power</t>
  </si>
  <si>
    <t>WattHour</t>
  </si>
  <si>
    <t>Impedance</t>
  </si>
  <si>
    <t>Temp</t>
  </si>
  <si>
    <t>CurCycle</t>
  </si>
  <si>
    <t>TotalCycle</t>
  </si>
  <si>
    <t>AvgVoltage</t>
  </si>
  <si>
    <t>AvgCurrent</t>
  </si>
  <si>
    <t>ChargeCapacity</t>
  </si>
  <si>
    <t>DischargeCapacity</t>
  </si>
  <si>
    <t>Run</t>
  </si>
  <si>
    <t>Normal</t>
  </si>
  <si>
    <t>46d</t>
  </si>
  <si>
    <t>unKnown1</t>
    <phoneticPr fontId="1" type="noConversion"/>
  </si>
  <si>
    <t>총Cycle/Step</t>
    <phoneticPr fontId="1" type="noConversion"/>
  </si>
  <si>
    <t>전압 종료</t>
  </si>
  <si>
    <t>0x04</t>
    <phoneticPr fontId="1" type="noConversion"/>
  </si>
  <si>
    <t>시간 종료</t>
  </si>
  <si>
    <t>0x02</t>
    <phoneticPr fontId="1" type="noConversion"/>
  </si>
  <si>
    <t>방전</t>
    <phoneticPr fontId="1" type="noConversion"/>
  </si>
  <si>
    <t>0x05</t>
    <phoneticPr fontId="1" type="noConversion"/>
  </si>
  <si>
    <t>0x0b</t>
    <phoneticPr fontId="1" type="noConversion"/>
  </si>
  <si>
    <t>0x00</t>
    <phoneticPr fontId="1" type="noConversion"/>
  </si>
  <si>
    <t>작업 중</t>
  </si>
  <si>
    <t>0x02</t>
    <phoneticPr fontId="1" type="noConversion"/>
  </si>
  <si>
    <t>0x01</t>
    <phoneticPr fontId="1" type="noConversion"/>
  </si>
  <si>
    <t>0x03</t>
    <phoneticPr fontId="1" type="noConversion"/>
  </si>
  <si>
    <t>전류 종료</t>
  </si>
  <si>
    <t>용량 종료</t>
  </si>
  <si>
    <t>강제 종료</t>
  </si>
  <si>
    <t>0x6E</t>
    <phoneticPr fontId="1" type="noConversion"/>
  </si>
  <si>
    <t>인덱스</t>
    <phoneticPr fontId="1" type="noConversion"/>
  </si>
  <si>
    <t>Cycle</t>
    <phoneticPr fontId="1" type="noConversion"/>
  </si>
  <si>
    <t>Cycle + unKnown</t>
    <phoneticPr fontId="1" type="noConversion"/>
  </si>
  <si>
    <t>휴지</t>
    <phoneticPr fontId="1" type="noConversion"/>
  </si>
  <si>
    <t>충전</t>
    <phoneticPr fontId="1" type="noConversion"/>
  </si>
  <si>
    <t>충전</t>
    <phoneticPr fontId="1" type="noConversion"/>
  </si>
  <si>
    <t>방전</t>
    <phoneticPr fontId="1" type="noConversion"/>
  </si>
  <si>
    <t>StepType</t>
    <phoneticPr fontId="1" type="noConversion"/>
  </si>
  <si>
    <t>StateCode</t>
    <phoneticPr fontId="1" type="noConversion"/>
  </si>
  <si>
    <t>Res File</t>
    <phoneticPr fontId="1" type="noConversion"/>
  </si>
  <si>
    <t>OWNER=zdf</t>
    <phoneticPr fontId="1" type="noConversion"/>
  </si>
  <si>
    <t>CHANNEL PER MASTER=4</t>
    <phoneticPr fontId="1" type="noConversion"/>
  </si>
  <si>
    <t>FILE VERSION=0932</t>
    <phoneticPr fontId="1" type="noConversion"/>
  </si>
  <si>
    <t>CHANNEL=1</t>
    <phoneticPr fontId="1" type="noConversion"/>
  </si>
  <si>
    <t>MASTER=4</t>
    <phoneticPr fontId="1" type="noConversion"/>
  </si>
  <si>
    <r>
      <rPr>
        <sz val="11"/>
        <color theme="1"/>
        <rFont val="맑은 고딕"/>
        <family val="2"/>
        <charset val="129"/>
      </rPr>
      <t>채널</t>
    </r>
    <r>
      <rPr>
        <sz val="11"/>
        <color theme="1"/>
        <rFont val="Consolas"/>
        <family val="3"/>
      </rPr>
      <t xml:space="preserve"> = (MASTER - 1) * CHANNEL PER MASTER + CHANNEL = 13</t>
    </r>
    <phoneticPr fontId="1" type="noConversion"/>
  </si>
  <si>
    <t>fault</t>
    <phoneticPr fontId="1" type="noConversion"/>
  </si>
  <si>
    <t xml:space="preserve">130     125     0       0       0       0       0       0       </t>
  </si>
  <si>
    <t xml:space="preserve">0       0       0       0       0       0       0       0       </t>
  </si>
  <si>
    <t xml:space="preserve">1       0       0       0       0       0       0       0       </t>
  </si>
  <si>
    <t xml:space="preserve">0       0       89      1       94      1       94      1       </t>
  </si>
  <si>
    <t xml:space="preserve">0       243     127     1       0       0       0       0       </t>
  </si>
  <si>
    <t>온도 (25.6 + 0.1 * N)</t>
    <phoneticPr fontId="1" type="noConversion"/>
  </si>
  <si>
    <t xml:space="preserve">28      1       0       115     1       0       2       0       </t>
  </si>
  <si>
    <t xml:space="preserve">87      1       31      119     0       0       0       0       </t>
  </si>
  <si>
    <t xml:space="preserve">131     125     0       0       0       0       0       0       </t>
  </si>
  <si>
    <t xml:space="preserve">192     122     16      0       48      42      0       0       </t>
  </si>
  <si>
    <t xml:space="preserve">0       0       0       0       52      42      0       0       </t>
  </si>
  <si>
    <t xml:space="preserve">4       3       0       115     2       0       5       0       </t>
  </si>
  <si>
    <t xml:space="preserve">95      1       31      119     41      245     0       0       </t>
  </si>
  <si>
    <t xml:space="preserve">238     169     0       0       223     5       2       0       </t>
  </si>
  <si>
    <t xml:space="preserve">166     106     0       0       222     208     7       0       </t>
  </si>
  <si>
    <t xml:space="preserve">246     170     34      0       193     88      0       0       </t>
  </si>
  <si>
    <t xml:space="preserve">2       0       0       0       218     5       0       0       </t>
  </si>
  <si>
    <t xml:space="preserve">223     5       2       0       223     5       2       0       </t>
  </si>
  <si>
    <t xml:space="preserve">0       0       0       0       222     208     7       0       </t>
  </si>
  <si>
    <t xml:space="preserve">222     208     7       0       0       0       0       0       </t>
  </si>
  <si>
    <t xml:space="preserve">194     151     0       0       14      28      6       0       </t>
  </si>
  <si>
    <t xml:space="preserve">2       0       90      1       94      1       94      1       </t>
  </si>
  <si>
    <t xml:space="preserve">1       243     127     1       80      192     13      0       </t>
  </si>
  <si>
    <t xml:space="preserve">75      17      0       0       197     88      0       0       </t>
  </si>
  <si>
    <t xml:space="preserve">28      1       0       115     2       0       6       0       </t>
  </si>
  <si>
    <t xml:space="preserve">90      1       31      119     0       0       0       0       </t>
  </si>
  <si>
    <t xml:space="preserve">8       169     0       0       0       0       0       0       </t>
  </si>
  <si>
    <t xml:space="preserve">22      106     37      0       202     95      0       0       </t>
  </si>
  <si>
    <t xml:space="preserve">2       0       0       0       0       0       0       0       </t>
  </si>
  <si>
    <t xml:space="preserve">223     5       2       0       0       0       0       0       </t>
  </si>
  <si>
    <t xml:space="preserve">53      169     0       0       0       0       0       0       </t>
  </si>
  <si>
    <t xml:space="preserve">0       0       0       0       205     95      0       0       </t>
  </si>
  <si>
    <t xml:space="preserve">8       2       0       115     2       0       7       0       </t>
  </si>
  <si>
    <t xml:space="preserve">105     1       31      119     143     156     249     255     </t>
  </si>
  <si>
    <t xml:space="preserve">167     97      0       0       97      6       2       0       </t>
  </si>
  <si>
    <t xml:space="preserve">40      103     254     255     107     137     7       0       </t>
  </si>
  <si>
    <t xml:space="preserve">90      211     54      0       94      140     0       0       </t>
  </si>
  <si>
    <t xml:space="preserve">2       0       0       0       211     3       0       0       </t>
  </si>
  <si>
    <t xml:space="preserve">126     255     255     255     0       0       0       0       </t>
  </si>
  <si>
    <t xml:space="preserve">97      6       2       0       115     71      0       0       </t>
  </si>
  <si>
    <t xml:space="preserve">0       0       0       0       107     137     7       0       </t>
  </si>
  <si>
    <t xml:space="preserve">102     145     0       0       139     156     249     255     </t>
  </si>
  <si>
    <t xml:space="preserve">2       0       92      1       94      1       94      1       </t>
  </si>
  <si>
    <t xml:space="preserve">0       0       0       0       97      140     0       0       </t>
  </si>
  <si>
    <t xml:space="preserve">28      1       0       115     2       0       8       0       </t>
  </si>
  <si>
    <t xml:space="preserve">95      1       31      119     0       0       0       0       </t>
  </si>
  <si>
    <t xml:space="preserve">141     122     0       0       0       0       0       0       </t>
  </si>
  <si>
    <t xml:space="preserve">122     146     57      0       103     147     0       0       </t>
  </si>
  <si>
    <t xml:space="preserve">0       0       0       0       115     71      0       0       </t>
  </si>
  <si>
    <t xml:space="preserve">160     121     0       0       0       0       0       0       </t>
  </si>
  <si>
    <t xml:space="preserve">0       0       92      1       94      1       94      1       </t>
  </si>
  <si>
    <t xml:space="preserve">0       0       0       0       106     147     0       0       </t>
  </si>
  <si>
    <t>휴</t>
    <phoneticPr fontId="1" type="noConversion"/>
  </si>
  <si>
    <t>충</t>
    <phoneticPr fontId="1" type="noConversion"/>
  </si>
  <si>
    <t>방</t>
    <phoneticPr fontId="1" type="noConversion"/>
  </si>
  <si>
    <t>고정</t>
    <phoneticPr fontId="1" type="noConversion"/>
  </si>
  <si>
    <t>충전 Flag?</t>
    <phoneticPr fontId="1" type="noConversion"/>
  </si>
  <si>
    <t>총 사이클 수</t>
    <phoneticPr fontId="1" type="noConversion"/>
  </si>
  <si>
    <t>Step No</t>
    <phoneticPr fontId="1" type="noConversion"/>
  </si>
  <si>
    <t>상태코드</t>
    <phoneticPr fontId="1" type="noConversion"/>
  </si>
  <si>
    <t>전류2(2^8)</t>
    <phoneticPr fontId="1" type="noConversion"/>
  </si>
  <si>
    <t>전류3(2^16)</t>
    <phoneticPr fontId="1" type="noConversion"/>
  </si>
  <si>
    <t>전류1(mA)</t>
    <phoneticPr fontId="1" type="noConversion"/>
  </si>
  <si>
    <t>전류4?(2^24)</t>
    <phoneticPr fontId="1" type="noConversion"/>
  </si>
  <si>
    <t>전압1(mV)</t>
    <phoneticPr fontId="1" type="noConversion"/>
  </si>
  <si>
    <t>전압2(2^8)</t>
    <phoneticPr fontId="1" type="noConversion"/>
  </si>
  <si>
    <t>충전 WattHour 1</t>
    <phoneticPr fontId="1" type="noConversion"/>
  </si>
  <si>
    <t>충전 WattHour 2</t>
    <phoneticPr fontId="1" type="noConversion"/>
  </si>
  <si>
    <t>충전 WattHour 3</t>
  </si>
  <si>
    <t>충전 WattHour 4</t>
  </si>
  <si>
    <t>평균전압1</t>
    <phoneticPr fontId="1" type="noConversion"/>
  </si>
  <si>
    <t>평균전압2</t>
    <phoneticPr fontId="1" type="noConversion"/>
  </si>
  <si>
    <t>평균전압3</t>
  </si>
  <si>
    <t>평균전압4</t>
  </si>
  <si>
    <t>CV용량 1</t>
    <phoneticPr fontId="1" type="noConversion"/>
  </si>
  <si>
    <t>CV용량 2</t>
    <phoneticPr fontId="1" type="noConversion"/>
  </si>
  <si>
    <t>출력 (mW)</t>
    <phoneticPr fontId="1" type="noConversion"/>
  </si>
  <si>
    <t>용량(mAh)</t>
    <phoneticPr fontId="1" type="noConversion"/>
  </si>
  <si>
    <t>WattHour (mWh)</t>
    <phoneticPr fontId="1" type="noConversion"/>
  </si>
  <si>
    <t>누적시간(0.01s)</t>
    <phoneticPr fontId="1" type="noConversion"/>
  </si>
  <si>
    <t>Cy</t>
    <phoneticPr fontId="1" type="noConversion"/>
  </si>
  <si>
    <t>총 Watthour</t>
    <phoneticPr fontId="1" type="noConversion"/>
  </si>
  <si>
    <t>방전 Watthour</t>
    <phoneticPr fontId="1" type="noConversion"/>
  </si>
  <si>
    <t>Amb. 온도</t>
    <phoneticPr fontId="1" type="noConversion"/>
  </si>
  <si>
    <t>CV시간 (ms)</t>
    <phoneticPr fontId="1" type="noConversion"/>
  </si>
  <si>
    <t>인덱스와 유사한 값</t>
    <phoneticPr fontId="1" type="noConversion"/>
  </si>
  <si>
    <t>전압 (mV)</t>
    <phoneticPr fontId="1" type="noConversion"/>
  </si>
  <si>
    <t>Step 평균 전류? mA (부호있음)</t>
    <phoneticPr fontId="1" type="noConversion"/>
  </si>
  <si>
    <t>전류 (mA) 부호있음</t>
    <phoneticPr fontId="1" type="noConversion"/>
  </si>
  <si>
    <t>25도?</t>
    <phoneticPr fontId="1" type="noConversion"/>
  </si>
  <si>
    <t>온도 (현재 시간)</t>
    <phoneticPr fontId="1" type="noConversion"/>
  </si>
  <si>
    <t>정체불명의 온도1 (차가움)</t>
    <phoneticPr fontId="1" type="noConversion"/>
  </si>
  <si>
    <t>정체불명의 온도2 (따뜻함)</t>
    <phoneticPr fontId="1" type="noConversion"/>
  </si>
  <si>
    <t>Step 평균 전압? (mV)</t>
    <phoneticPr fontId="1" type="noConversion"/>
  </si>
  <si>
    <t>YYMMDD</t>
    <phoneticPr fontId="1" type="noConversion"/>
  </si>
  <si>
    <t>CV시간 (s)</t>
    <phoneticPr fontId="1" type="noConversion"/>
  </si>
  <si>
    <t>누적 step 시간 (s)</t>
    <phoneticPr fontId="1" type="noConversion"/>
  </si>
  <si>
    <t>?</t>
    <phoneticPr fontId="1" type="noConversion"/>
  </si>
  <si>
    <t>CV 평균전류?</t>
    <phoneticPr fontId="1" type="noConversion"/>
  </si>
  <si>
    <t>누적방전용량 mAh</t>
    <phoneticPr fontId="1" type="noConversion"/>
  </si>
  <si>
    <t>충전 Wh</t>
    <phoneticPr fontId="1" type="noConversion"/>
  </si>
  <si>
    <t>방전 Wh</t>
    <phoneticPr fontId="1" type="noConversion"/>
  </si>
  <si>
    <t>CV 관련</t>
    <phoneticPr fontId="1" type="noConversion"/>
  </si>
  <si>
    <t>CC 충전 용량 유사</t>
    <phoneticPr fontId="1" type="noConversion"/>
  </si>
  <si>
    <t>누적충방전용량 mAh (부호있음)</t>
    <phoneticPr fontId="1" type="noConversion"/>
  </si>
  <si>
    <t>충전용량 mAh</t>
    <phoneticPr fontId="1" type="noConversion"/>
  </si>
  <si>
    <t>방전용량 mAh</t>
    <phoneticPr fontId="1" type="noConversion"/>
  </si>
  <si>
    <t>누적 mWh (부호있음)</t>
    <phoneticPr fontId="1" type="noConversion"/>
  </si>
  <si>
    <t>mW (부호있음)</t>
    <phoneticPr fontId="1" type="noConversion"/>
  </si>
  <si>
    <t>float_전압 (mV)</t>
    <phoneticPr fontId="1" type="noConversion"/>
  </si>
  <si>
    <t>float_Step 진행 시간 (s)</t>
    <phoneticPr fontId="1" type="noConversion"/>
  </si>
  <si>
    <t>float_총 누적 시간 (s)</t>
    <phoneticPr fontId="1" type="noConversion"/>
  </si>
  <si>
    <t>float_Imp (mOhm)</t>
    <phoneticPr fontId="1" type="noConversion"/>
  </si>
  <si>
    <t>float_온도 (oC)</t>
    <phoneticPr fontId="1" type="noConversion"/>
  </si>
  <si>
    <t>float_평균전압 (mV)</t>
    <phoneticPr fontId="1" type="noConversion"/>
  </si>
  <si>
    <t>float_CV 시간 (s)</t>
    <phoneticPr fontId="1" type="noConversion"/>
  </si>
  <si>
    <t>25도</t>
    <phoneticPr fontId="1" type="noConversion"/>
  </si>
  <si>
    <t>칠러 온도?</t>
    <phoneticPr fontId="1" type="noConversion"/>
  </si>
  <si>
    <t>히터 온도?</t>
    <phoneticPr fontId="1" type="noConversion"/>
  </si>
  <si>
    <t>날짜</t>
    <phoneticPr fontId="1" type="noConversion"/>
  </si>
  <si>
    <t>float_전류 (mA) 부호있음</t>
    <phoneticPr fontId="1" type="noConversion"/>
  </si>
  <si>
    <t>float_충전용량 (mAh)</t>
    <phoneticPr fontId="1" type="noConversion"/>
  </si>
  <si>
    <t>float_방전용량 (mAh)</t>
    <phoneticPr fontId="1" type="noConversion"/>
  </si>
  <si>
    <t>float_충전Energy (Wh)</t>
    <phoneticPr fontId="1" type="noConversion"/>
  </si>
  <si>
    <t>float_방전Energy (Wh)</t>
    <phoneticPr fontId="1" type="noConversion"/>
  </si>
  <si>
    <t>float_용량 (mAh) 부호있음</t>
    <phoneticPr fontId="1" type="noConversion"/>
  </si>
  <si>
    <t>float_출력 (mW) 부호있음</t>
    <phoneticPr fontId="1" type="noConversion"/>
  </si>
  <si>
    <t>float_Energy (mWh) 부호있음</t>
    <phoneticPr fontId="1" type="noConversion"/>
  </si>
  <si>
    <t>float_평균전류 (mA) 부호있음</t>
    <phoneticPr fontId="1" type="noConversion"/>
  </si>
  <si>
    <t>인덱스</t>
    <phoneticPr fontId="1" type="noConversion"/>
  </si>
  <si>
    <t>헤더 106 * 4 바이트</t>
    <phoneticPr fontId="1" type="noConversion"/>
  </si>
  <si>
    <t>CYC:</t>
    <phoneticPr fontId="1" type="noConversion"/>
  </si>
  <si>
    <t>CTS:</t>
    <phoneticPr fontId="1" type="noConversion"/>
  </si>
  <si>
    <t>헤더 228 * 4 바이트</t>
    <phoneticPr fontId="1" type="noConversion"/>
  </si>
  <si>
    <t>f_전압 (mV)</t>
    <phoneticPr fontId="1" type="noConversion"/>
  </si>
  <si>
    <t>f_전류 (mA) [부호 있음]</t>
    <phoneticPr fontId="1" type="noConversion"/>
  </si>
  <si>
    <t>f_Imp (mOhm)</t>
    <phoneticPr fontId="1" type="noConversion"/>
  </si>
  <si>
    <t>f_출력 (mW) [부호있음]</t>
    <phoneticPr fontId="1" type="noConversion"/>
  </si>
  <si>
    <t>f_온도 (oC)</t>
    <phoneticPr fontId="1" type="noConversion"/>
  </si>
  <si>
    <t>f_평균전압 (mV)</t>
    <phoneticPr fontId="1" type="noConversion"/>
  </si>
  <si>
    <t>f_평균전류 (mA) 부호있음</t>
    <phoneticPr fontId="1" type="noConversion"/>
  </si>
  <si>
    <t>f_충전용량 (mAh)</t>
    <phoneticPr fontId="1" type="noConversion"/>
  </si>
  <si>
    <t>f_충전Energy (Wh)</t>
    <phoneticPr fontId="1" type="noConversion"/>
  </si>
  <si>
    <t>f_방전용량 (mAh)</t>
    <phoneticPr fontId="1" type="noConversion"/>
  </si>
  <si>
    <t>f_방전Energy (Wh)</t>
    <phoneticPr fontId="1" type="noConversion"/>
  </si>
  <si>
    <t>f_CV 시간 (s)</t>
    <phoneticPr fontId="1" type="noConversion"/>
  </si>
  <si>
    <t>예시</t>
    <phoneticPr fontId="1" type="noConversion"/>
  </si>
  <si>
    <t>2025-02-21 16:41:14.538</t>
    <phoneticPr fontId="1" type="noConversion"/>
  </si>
  <si>
    <t>파일 생성 시각 (31번은 비어있음)</t>
    <phoneticPr fontId="1" type="noConversion"/>
  </si>
  <si>
    <t>버전 업데이트 날짜 (추정)</t>
    <phoneticPr fontId="1" type="noConversion"/>
  </si>
  <si>
    <t>헤더 (912 byte)</t>
    <phoneticPr fontId="1" type="noConversion"/>
  </si>
  <si>
    <t>시험 시작 시각 (마지막 바이트는 비어있음)</t>
    <phoneticPr fontId="1" type="noConversion"/>
  </si>
  <si>
    <t>2025-02-21 16:40:33.844</t>
    <phoneticPr fontId="1" type="noConversion"/>
  </si>
  <si>
    <t>시험 완료 시각 (마지막 바이트는 비어있음)</t>
    <phoneticPr fontId="1" type="noConversion"/>
  </si>
  <si>
    <t>2025-02-27 08:49:39.272</t>
    <phoneticPr fontId="1" type="noConversion"/>
  </si>
  <si>
    <t>RCL5D10858</t>
    <phoneticPr fontId="1" type="noConversion"/>
  </si>
  <si>
    <t>장비</t>
    <phoneticPr fontId="1" type="noConversion"/>
  </si>
  <si>
    <t>314-400-058</t>
    <phoneticPr fontId="1" type="noConversion"/>
  </si>
  <si>
    <t>'_x0001__x0002__x0003_
_x0018__x0017_$%_x001A__x001B_"#&amp;)2,-./KLMNOIJ01hijk</t>
    <phoneticPr fontId="1" type="noConversion"/>
  </si>
  <si>
    <t>StepEnd (200 byte)</t>
    <phoneticPr fontId="1" type="noConversion"/>
  </si>
  <si>
    <t>3633.697998046875</t>
    <phoneticPr fontId="1" type="noConversion"/>
  </si>
  <si>
    <t>int</t>
    <phoneticPr fontId="1" type="noConversion"/>
  </si>
  <si>
    <t>25.100000381469727</t>
    <phoneticPr fontId="1" type="noConversion"/>
  </si>
  <si>
    <t>23.347000122070312</t>
    <phoneticPr fontId="1" type="noConversion"/>
  </si>
  <si>
    <t>f_칠러온도?</t>
    <phoneticPr fontId="1" type="noConversion"/>
  </si>
  <si>
    <t>f_설정온도?</t>
    <phoneticPr fontId="1" type="noConversion"/>
  </si>
  <si>
    <t>34.0</t>
    <phoneticPr fontId="1" type="noConversion"/>
  </si>
  <si>
    <t>f_히터온도?</t>
    <phoneticPr fontId="1" type="noConversion"/>
  </si>
  <si>
    <t>f_날짜</t>
    <phoneticPr fontId="1" type="noConversion"/>
  </si>
  <si>
    <t>250221.0</t>
    <phoneticPr fontId="1" type="noConversion"/>
  </si>
  <si>
    <t>i_Step 데이터 행 수 (CDM의 괄호 수 누적)</t>
    <phoneticPr fontId="1" type="noConversion"/>
  </si>
  <si>
    <t>i_누적 Index</t>
    <phoneticPr fontId="1" type="noConversion"/>
  </si>
  <si>
    <t>i_Cur?</t>
    <phoneticPr fontId="1" type="noConversion"/>
  </si>
  <si>
    <t>i_Tot Cyc?</t>
    <phoneticPr fontId="1" type="noConversion"/>
  </si>
  <si>
    <t>f_전류 (mA)</t>
    <phoneticPr fontId="1" type="noConversion"/>
  </si>
  <si>
    <t>4349.05712890625</t>
    <phoneticPr fontId="1" type="noConversion"/>
  </si>
  <si>
    <t>6277.24609375</t>
    <phoneticPr fontId="1" type="noConversion"/>
  </si>
  <si>
    <t>f_용량 (mAh)</t>
    <phoneticPr fontId="1" type="noConversion"/>
  </si>
  <si>
    <t>92098.890625</t>
    <phoneticPr fontId="1" type="noConversion"/>
  </si>
  <si>
    <t>27300.0</t>
    <phoneticPr fontId="1" type="noConversion"/>
  </si>
  <si>
    <t>f_출력 (mW)</t>
    <phoneticPr fontId="1" type="noConversion"/>
  </si>
  <si>
    <t>f_WattHour (mWH)</t>
    <phoneticPr fontId="1" type="noConversion"/>
  </si>
  <si>
    <t>368239.0</t>
    <phoneticPr fontId="1" type="noConversion"/>
  </si>
  <si>
    <t>f_step시간 (s)</t>
    <phoneticPr fontId="1" type="noConversion"/>
  </si>
  <si>
    <t>f_전체시간 (s)</t>
    <phoneticPr fontId="1" type="noConversion"/>
  </si>
  <si>
    <t>8703.759765625</t>
    <phoneticPr fontId="1" type="noConversion"/>
  </si>
  <si>
    <t>19503.759765625</t>
    <phoneticPr fontId="1" type="noConversion"/>
  </si>
  <si>
    <t>1.093999981880188</t>
    <phoneticPr fontId="1" type="noConversion"/>
  </si>
  <si>
    <t>25.299999237060547</t>
    <phoneticPr fontId="1" type="noConversion"/>
  </si>
  <si>
    <t>4030.199951171875</t>
    <phoneticPr fontId="1" type="noConversion"/>
  </si>
  <si>
    <t>f_평균전류 (mA)</t>
    <phoneticPr fontId="1" type="noConversion"/>
  </si>
  <si>
    <t>38094.1015625</t>
    <phoneticPr fontId="1" type="noConversion"/>
  </si>
  <si>
    <t>f_전류 (mA) [부호있음]</t>
    <phoneticPr fontId="1" type="noConversion"/>
  </si>
  <si>
    <t>f_평균전류 (mA) [부호있음]</t>
    <phoneticPr fontId="1" type="noConversion"/>
  </si>
  <si>
    <t>Rest</t>
  </si>
  <si>
    <t>Rest</t>
    <phoneticPr fontId="1" type="noConversion"/>
  </si>
  <si>
    <t>충전</t>
  </si>
  <si>
    <t>방전</t>
  </si>
  <si>
    <t>Pattern</t>
    <phoneticPr fontId="1" type="noConversion"/>
  </si>
  <si>
    <t>패턴</t>
  </si>
  <si>
    <t>완료</t>
  </si>
  <si>
    <t>완료</t>
    <phoneticPr fontId="1" type="noConversion"/>
  </si>
  <si>
    <t>25도?</t>
  </si>
  <si>
    <t>CC 충전 용량 유사</t>
  </si>
  <si>
    <t>CV 평균전류?</t>
  </si>
  <si>
    <t>누적방전용량 mAh</t>
  </si>
  <si>
    <t>CV 관련</t>
  </si>
  <si>
    <t>f_CV시간 (s)</t>
    <phoneticPr fontId="1" type="noConversion"/>
  </si>
  <si>
    <t>f_Index</t>
    <phoneticPr fontId="1" type="noConversion"/>
  </si>
  <si>
    <t>f_step 시간 (s)</t>
    <phoneticPr fontId="1" type="noConversion"/>
  </si>
  <si>
    <t>f_누적충방전용량 (mAh) [부호있음]</t>
    <phoneticPr fontId="1" type="noConversion"/>
  </si>
  <si>
    <t>f_누적 mWh [부호있음]</t>
    <phoneticPr fontId="1" type="noConversion"/>
  </si>
  <si>
    <t>f_충전 Wh</t>
    <phoneticPr fontId="1" type="noConversion"/>
  </si>
  <si>
    <t>f_방전 Wh</t>
    <phoneticPr fontId="1" type="noConversion"/>
  </si>
  <si>
    <t>f_평균전압</t>
    <phoneticPr fontId="1" type="noConversion"/>
  </si>
  <si>
    <t>칠러온도?</t>
    <phoneticPr fontId="1" type="noConversion"/>
  </si>
  <si>
    <t>날짜 (f_YYMMDD)</t>
    <phoneticPr fontId="1" type="noConversion"/>
  </si>
  <si>
    <t>iifiiiiffffffffffiffiiifffffiifffffiffffffffffff</t>
  </si>
  <si>
    <t>iifiiiiffffffffffffffffffffffifffffiffffffffffffff</t>
    <phoneticPr fontId="1" type="noConversion"/>
  </si>
  <si>
    <t>헤더 (896 byte)</t>
    <phoneticPr fontId="1" type="noConversion"/>
  </si>
  <si>
    <t>StepEnd (172 byte)</t>
    <phoneticPr fontId="1" type="noConversion"/>
  </si>
  <si>
    <t>bBbbbbbbiiiiifffffffffffffbbbbbbbbbbbbffffffifffffiffffffffffffff</t>
  </si>
  <si>
    <t>시간종료</t>
    <phoneticPr fontId="1" type="noConversion"/>
  </si>
  <si>
    <t>전류종료</t>
    <phoneticPr fontId="1" type="noConversion"/>
  </si>
  <si>
    <t>전압종료</t>
    <phoneticPr fontId="1" type="noConversion"/>
  </si>
  <si>
    <t>진행중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</si>
</sst>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E9178"/>
      <name val="Consolas"/>
      <family val="3"/>
    </font>
    <font>
      <sz val="11"/>
      <color theme="1"/>
      <name val="Consolas"/>
      <family val="3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Var(--jp-code-font-family)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9" borderId="4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16" fillId="0" borderId="10" xfId="0" applyFont="1" applyBorder="1" applyAlignment="1">
      <alignment horizontal="right" vertical="center"/>
    </xf>
    <xf numFmtId="0" fontId="16" fillId="0" borderId="10" xfId="0" applyFont="1" applyFill="1" applyBorder="1" applyAlignment="1">
      <alignment horizontal="right" vertical="center"/>
    </xf>
    <xf numFmtId="0" fontId="16" fillId="0" borderId="0" xfId="0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0" fontId="0" fillId="2" borderId="15" xfId="0" applyFill="1" applyBorder="1" applyAlignment="1">
      <alignment horizontal="right" vertical="center"/>
    </xf>
    <xf numFmtId="0" fontId="0" fillId="2" borderId="16" xfId="0" applyFill="1" applyBorder="1" applyAlignment="1">
      <alignment horizontal="right" vertical="center"/>
    </xf>
    <xf numFmtId="0" fontId="0" fillId="4" borderId="14" xfId="0" applyFill="1" applyBorder="1" applyAlignment="1">
      <alignment horizontal="right" vertical="center"/>
    </xf>
    <xf numFmtId="0" fontId="0" fillId="48" borderId="16" xfId="0" applyFill="1" applyBorder="1" applyAlignment="1">
      <alignment horizontal="right" vertical="center"/>
    </xf>
    <xf numFmtId="0" fontId="16" fillId="0" borderId="14" xfId="0" applyFont="1" applyFill="1" applyBorder="1" applyAlignment="1">
      <alignment horizontal="right" vertical="center"/>
    </xf>
    <xf numFmtId="0" fontId="16" fillId="0" borderId="16" xfId="0" applyFont="1" applyFill="1" applyBorder="1" applyAlignment="1">
      <alignment horizontal="right" vertical="center"/>
    </xf>
    <xf numFmtId="0" fontId="0" fillId="5" borderId="15" xfId="0" applyFill="1" applyBorder="1" applyAlignment="1">
      <alignment horizontal="right" vertical="center"/>
    </xf>
    <xf numFmtId="0" fontId="0" fillId="5" borderId="16" xfId="0" applyFill="1" applyBorder="1" applyAlignment="1">
      <alignment horizontal="right" vertical="center"/>
    </xf>
    <xf numFmtId="0" fontId="0" fillId="6" borderId="14" xfId="0" applyFill="1" applyBorder="1" applyAlignment="1">
      <alignment horizontal="right" vertical="center"/>
    </xf>
    <xf numFmtId="0" fontId="0" fillId="6" borderId="16" xfId="0" applyFill="1" applyBorder="1" applyAlignment="1">
      <alignment horizontal="right" vertical="center"/>
    </xf>
    <xf numFmtId="0" fontId="0" fillId="9" borderId="14" xfId="0" applyFill="1" applyBorder="1" applyAlignment="1">
      <alignment horizontal="right" vertical="center"/>
    </xf>
    <xf numFmtId="0" fontId="0" fillId="9" borderId="16" xfId="0" applyFill="1" applyBorder="1" applyAlignment="1">
      <alignment horizontal="right" vertical="center"/>
    </xf>
    <xf numFmtId="0" fontId="0" fillId="10" borderId="14" xfId="0" applyFill="1" applyBorder="1" applyAlignment="1">
      <alignment horizontal="right" vertical="center"/>
    </xf>
    <xf numFmtId="0" fontId="0" fillId="10" borderId="15" xfId="0" applyFill="1" applyBorder="1" applyAlignment="1">
      <alignment horizontal="right" vertical="center"/>
    </xf>
    <xf numFmtId="0" fontId="0" fillId="10" borderId="12" xfId="0" applyFill="1" applyBorder="1" applyAlignment="1">
      <alignment horizontal="right" vertical="center"/>
    </xf>
    <xf numFmtId="0" fontId="0" fillId="10" borderId="13" xfId="0" applyFill="1" applyBorder="1" applyAlignment="1">
      <alignment horizontal="right" vertical="center"/>
    </xf>
    <xf numFmtId="0" fontId="0" fillId="8" borderId="11" xfId="0" applyFill="1" applyBorder="1" applyAlignment="1">
      <alignment horizontal="right" vertical="center"/>
    </xf>
    <xf numFmtId="0" fontId="0" fillId="8" borderId="13" xfId="0" applyFill="1" applyBorder="1" applyAlignment="1">
      <alignment horizontal="right" vertical="center"/>
    </xf>
    <xf numFmtId="0" fontId="20" fillId="0" borderId="16" xfId="0" applyFont="1" applyBorder="1" applyAlignment="1">
      <alignment horizontal="right" vertical="center"/>
    </xf>
    <xf numFmtId="0" fontId="0" fillId="11" borderId="14" xfId="0" applyFill="1" applyBorder="1" applyAlignment="1">
      <alignment horizontal="right" vertical="center"/>
    </xf>
    <xf numFmtId="0" fontId="0" fillId="11" borderId="16" xfId="0" applyFill="1" applyBorder="1" applyAlignment="1">
      <alignment horizontal="right" vertical="center"/>
    </xf>
    <xf numFmtId="0" fontId="0" fillId="14" borderId="14" xfId="0" applyFill="1" applyBorder="1" applyAlignment="1">
      <alignment horizontal="right" vertical="center"/>
    </xf>
    <xf numFmtId="0" fontId="0" fillId="14" borderId="15" xfId="0" applyFill="1" applyBorder="1" applyAlignment="1">
      <alignment horizontal="right" vertical="center"/>
    </xf>
    <xf numFmtId="0" fontId="0" fillId="14" borderId="16" xfId="0" applyFill="1" applyBorder="1" applyAlignment="1">
      <alignment horizontal="right" vertical="center"/>
    </xf>
    <xf numFmtId="0" fontId="0" fillId="47" borderId="14" xfId="0" applyFill="1" applyBorder="1" applyAlignment="1">
      <alignment horizontal="right" vertical="center"/>
    </xf>
    <xf numFmtId="0" fontId="0" fillId="47" borderId="16" xfId="0" applyFill="1" applyBorder="1" applyAlignment="1">
      <alignment horizontal="right" vertical="center"/>
    </xf>
    <xf numFmtId="0" fontId="0" fillId="13" borderId="14" xfId="0" applyFill="1" applyBorder="1" applyAlignment="1">
      <alignment horizontal="right" vertical="center"/>
    </xf>
    <xf numFmtId="0" fontId="0" fillId="13" borderId="16" xfId="0" applyFill="1" applyBorder="1" applyAlignment="1">
      <alignment horizontal="right" vertical="center"/>
    </xf>
    <xf numFmtId="0" fontId="0" fillId="7" borderId="14" xfId="0" applyFill="1" applyBorder="1" applyAlignment="1">
      <alignment horizontal="right" vertical="center"/>
    </xf>
    <xf numFmtId="0" fontId="0" fillId="7" borderId="15" xfId="0" applyFill="1" applyBorder="1" applyAlignment="1">
      <alignment horizontal="right" vertical="center"/>
    </xf>
    <xf numFmtId="0" fontId="0" fillId="7" borderId="16" xfId="0" applyFill="1" applyBorder="1" applyAlignment="1">
      <alignment horizontal="right" vertical="center"/>
    </xf>
    <xf numFmtId="0" fontId="0" fillId="12" borderId="14" xfId="0" applyFill="1" applyBorder="1" applyAlignment="1">
      <alignment horizontal="right" vertical="center"/>
    </xf>
    <xf numFmtId="0" fontId="0" fillId="12" borderId="16" xfId="0" applyFill="1" applyBorder="1" applyAlignment="1">
      <alignment horizontal="right" vertical="center"/>
    </xf>
    <xf numFmtId="0" fontId="0" fillId="3" borderId="14" xfId="0" applyFill="1" applyBorder="1" applyAlignment="1">
      <alignment horizontal="right" vertical="center"/>
    </xf>
    <xf numFmtId="0" fontId="0" fillId="3" borderId="15" xfId="0" applyFill="1" applyBorder="1" applyAlignment="1">
      <alignment horizontal="right" vertical="center"/>
    </xf>
    <xf numFmtId="0" fontId="0" fillId="3" borderId="16" xfId="0" applyFill="1" applyBorder="1" applyAlignment="1">
      <alignment horizontal="right" vertical="center"/>
    </xf>
    <xf numFmtId="0" fontId="0" fillId="8" borderId="14" xfId="0" applyFont="1" applyFill="1" applyBorder="1" applyAlignment="1">
      <alignment horizontal="right" vertical="center"/>
    </xf>
    <xf numFmtId="0" fontId="0" fillId="8" borderId="15" xfId="0" applyFont="1" applyFill="1" applyBorder="1" applyAlignment="1">
      <alignment horizontal="right" vertical="center"/>
    </xf>
    <xf numFmtId="0" fontId="0" fillId="6" borderId="14" xfId="0" applyFont="1" applyFill="1" applyBorder="1" applyAlignment="1">
      <alignment horizontal="right" vertical="center"/>
    </xf>
    <xf numFmtId="0" fontId="0" fillId="6" borderId="16" xfId="0" applyFont="1" applyFill="1" applyBorder="1" applyAlignment="1">
      <alignment horizontal="right" vertical="center"/>
    </xf>
    <xf numFmtId="0" fontId="0" fillId="47" borderId="14" xfId="0" applyFont="1" applyFill="1" applyBorder="1" applyAlignment="1">
      <alignment horizontal="right" vertical="center"/>
    </xf>
    <xf numFmtId="0" fontId="0" fillId="47" borderId="16" xfId="0" applyFont="1" applyFill="1" applyBorder="1" applyAlignment="1">
      <alignment horizontal="right" vertical="center"/>
    </xf>
    <xf numFmtId="0" fontId="0" fillId="50" borderId="14" xfId="0" applyFont="1" applyFill="1" applyBorder="1" applyAlignment="1">
      <alignment horizontal="right" vertical="center"/>
    </xf>
    <xf numFmtId="0" fontId="0" fillId="50" borderId="16" xfId="0" applyFont="1" applyFill="1" applyBorder="1" applyAlignment="1">
      <alignment horizontal="right" vertical="center"/>
    </xf>
    <xf numFmtId="0" fontId="0" fillId="15" borderId="11" xfId="0" applyFont="1" applyFill="1" applyBorder="1" applyAlignment="1">
      <alignment horizontal="right" vertical="center"/>
    </xf>
    <xf numFmtId="0" fontId="21" fillId="15" borderId="13" xfId="0" applyFont="1" applyFill="1" applyBorder="1" applyAlignment="1">
      <alignment horizontal="right" vertical="center"/>
    </xf>
    <xf numFmtId="0" fontId="21" fillId="15" borderId="11" xfId="0" applyFont="1" applyFill="1" applyBorder="1" applyAlignment="1">
      <alignment horizontal="right" vertical="center"/>
    </xf>
    <xf numFmtId="0" fontId="0" fillId="12" borderId="14" xfId="0" applyFont="1" applyFill="1" applyBorder="1" applyAlignment="1">
      <alignment horizontal="right" vertical="center"/>
    </xf>
    <xf numFmtId="0" fontId="0" fillId="12" borderId="16" xfId="0" applyFont="1" applyFill="1" applyBorder="1" applyAlignment="1">
      <alignment horizontal="right" vertical="center"/>
    </xf>
    <xf numFmtId="0" fontId="0" fillId="9" borderId="14" xfId="0" applyFont="1" applyFill="1" applyBorder="1" applyAlignment="1">
      <alignment horizontal="right" vertical="center"/>
    </xf>
    <xf numFmtId="0" fontId="0" fillId="9" borderId="16" xfId="0" applyFont="1" applyFill="1" applyBorder="1" applyAlignment="1">
      <alignment horizontal="right" vertical="center"/>
    </xf>
    <xf numFmtId="0" fontId="0" fillId="51" borderId="14" xfId="0" applyFont="1" applyFill="1" applyBorder="1" applyAlignment="1">
      <alignment horizontal="right" vertical="center"/>
    </xf>
    <xf numFmtId="0" fontId="0" fillId="51" borderId="16" xfId="0" applyFont="1" applyFill="1" applyBorder="1" applyAlignment="1">
      <alignment horizontal="right" vertical="center"/>
    </xf>
    <xf numFmtId="0" fontId="0" fillId="0" borderId="10" xfId="0" applyBorder="1">
      <alignment vertical="center"/>
    </xf>
    <xf numFmtId="0" fontId="0" fillId="2" borderId="10" xfId="0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9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15" borderId="10" xfId="0" applyFill="1" applyBorder="1" applyAlignment="1">
      <alignment horizontal="left" vertical="center"/>
    </xf>
    <xf numFmtId="0" fontId="0" fillId="8" borderId="10" xfId="0" applyFill="1" applyBorder="1" applyAlignment="1">
      <alignment horizontal="left" vertical="center"/>
    </xf>
    <xf numFmtId="0" fontId="0" fillId="11" borderId="10" xfId="0" applyFill="1" applyBorder="1" applyAlignment="1">
      <alignment horizontal="left" vertical="center"/>
    </xf>
    <xf numFmtId="0" fontId="0" fillId="14" borderId="10" xfId="0" applyFill="1" applyBorder="1" applyAlignment="1">
      <alignment horizontal="left" vertical="center"/>
    </xf>
    <xf numFmtId="0" fontId="0" fillId="47" borderId="10" xfId="0" applyFill="1" applyBorder="1" applyAlignment="1">
      <alignment horizontal="left" vertical="center"/>
    </xf>
    <xf numFmtId="0" fontId="0" fillId="13" borderId="10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50" borderId="10" xfId="0" applyFill="1" applyBorder="1" applyAlignment="1">
      <alignment horizontal="left" vertical="center"/>
    </xf>
    <xf numFmtId="0" fontId="0" fillId="12" borderId="10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52" borderId="14" xfId="0" applyFont="1" applyFill="1" applyBorder="1" applyAlignment="1">
      <alignment horizontal="right" vertical="center"/>
    </xf>
    <xf numFmtId="0" fontId="0" fillId="52" borderId="16" xfId="0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0" fontId="16" fillId="10" borderId="15" xfId="0" applyFont="1" applyFill="1" applyBorder="1" applyAlignment="1">
      <alignment horizontal="right" vertical="center"/>
    </xf>
    <xf numFmtId="0" fontId="16" fillId="9" borderId="14" xfId="0" applyFont="1" applyFill="1" applyBorder="1" applyAlignment="1">
      <alignment horizontal="right" vertical="center"/>
    </xf>
    <xf numFmtId="0" fontId="16" fillId="9" borderId="15" xfId="0" applyFont="1" applyFill="1" applyBorder="1" applyAlignment="1">
      <alignment horizontal="right" vertical="center"/>
    </xf>
    <xf numFmtId="0" fontId="16" fillId="10" borderId="16" xfId="0" applyFont="1" applyFill="1" applyBorder="1" applyAlignment="1">
      <alignment horizontal="right" vertical="center"/>
    </xf>
    <xf numFmtId="0" fontId="0" fillId="10" borderId="10" xfId="0" applyFill="1" applyBorder="1">
      <alignment vertical="center"/>
    </xf>
    <xf numFmtId="0" fontId="0" fillId="0" borderId="0" xfId="0" applyBorder="1">
      <alignment vertical="center"/>
    </xf>
    <xf numFmtId="0" fontId="0" fillId="49" borderId="0" xfId="0" applyFill="1" applyBorder="1" applyAlignment="1">
      <alignment horizontal="right" vertical="center"/>
    </xf>
    <xf numFmtId="0" fontId="16" fillId="10" borderId="10" xfId="0" applyFont="1" applyFill="1" applyBorder="1" applyAlignment="1">
      <alignment horizontal="right" vertical="center"/>
    </xf>
    <xf numFmtId="0" fontId="22" fillId="0" borderId="0" xfId="0" applyFont="1" applyBorder="1">
      <alignment vertical="center"/>
    </xf>
    <xf numFmtId="0" fontId="0" fillId="49" borderId="0" xfId="0" applyFill="1" applyBorder="1">
      <alignment vertical="center"/>
    </xf>
    <xf numFmtId="0" fontId="0" fillId="10" borderId="15" xfId="0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23" fillId="0" borderId="0" xfId="0" applyFont="1">
      <alignment vertical="center"/>
    </xf>
    <xf numFmtId="0" fontId="0" fillId="15" borderId="14" xfId="0" applyFont="1" applyFill="1" applyBorder="1" applyAlignment="1">
      <alignment horizontal="righ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6" fillId="53" borderId="15" xfId="0" applyFont="1" applyFill="1" applyBorder="1" applyAlignment="1">
      <alignment horizontal="right" vertical="center"/>
    </xf>
    <xf numFmtId="0" fontId="16" fillId="53" borderId="10" xfId="0" applyFont="1" applyFill="1" applyBorder="1" applyAlignment="1">
      <alignment horizontal="right" vertical="center"/>
    </xf>
    <xf numFmtId="0" fontId="0" fillId="5" borderId="18" xfId="0" applyFill="1" applyBorder="1" applyAlignment="1">
      <alignment horizontal="right" vertical="center"/>
    </xf>
    <xf numFmtId="0" fontId="25" fillId="2" borderId="17" xfId="0" applyFont="1" applyFill="1" applyBorder="1" applyAlignment="1">
      <alignment horizontal="right" vertical="center"/>
    </xf>
    <xf numFmtId="0" fontId="0" fillId="5" borderId="19" xfId="0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1" fillId="0" borderId="0" xfId="0" applyFont="1">
      <alignment vertical="center"/>
    </xf>
    <xf numFmtId="0" fontId="25" fillId="2" borderId="0" xfId="0" applyFont="1" applyFill="1">
      <alignment vertical="center"/>
    </xf>
    <xf numFmtId="0" fontId="21" fillId="54" borderId="0" xfId="0" applyFont="1" applyFill="1">
      <alignment vertical="center"/>
    </xf>
    <xf numFmtId="0" fontId="0" fillId="2" borderId="0" xfId="0" applyFill="1">
      <alignment vertical="center"/>
    </xf>
    <xf numFmtId="0" fontId="25" fillId="54" borderId="0" xfId="0" applyFont="1" applyFill="1">
      <alignment vertical="center"/>
    </xf>
    <xf numFmtId="0" fontId="21" fillId="2" borderId="0" xfId="0" applyFont="1" applyFill="1">
      <alignment vertical="center"/>
    </xf>
    <xf numFmtId="176" fontId="0" fillId="0" borderId="0" xfId="0" applyNumberFormat="1">
      <alignment vertical="center"/>
    </xf>
    <xf numFmtId="0" fontId="29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21" fillId="0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0" fillId="0" borderId="21" xfId="0" applyBorder="1">
      <alignment vertical="center"/>
    </xf>
    <xf numFmtId="0" fontId="0" fillId="0" borderId="0" xfId="0" applyBorder="1" applyAlignment="1">
      <alignment horizontal="center" vertical="center"/>
    </xf>
    <xf numFmtId="0" fontId="25" fillId="0" borderId="0" xfId="0" applyFont="1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>
      <alignment vertical="center"/>
    </xf>
    <xf numFmtId="0" fontId="25" fillId="0" borderId="29" xfId="0" applyFont="1" applyBorder="1">
      <alignment vertical="center"/>
    </xf>
    <xf numFmtId="0" fontId="25" fillId="0" borderId="30" xfId="0" applyFont="1" applyBorder="1">
      <alignment vertical="center"/>
    </xf>
    <xf numFmtId="0" fontId="0" fillId="0" borderId="31" xfId="0" applyBorder="1" applyAlignment="1">
      <alignment horizontal="center" vertical="center"/>
    </xf>
    <xf numFmtId="0" fontId="25" fillId="0" borderId="32" xfId="0" applyFont="1" applyBorder="1">
      <alignment vertical="center"/>
    </xf>
    <xf numFmtId="0" fontId="0" fillId="0" borderId="31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7" xfId="0" applyBorder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55" borderId="23" xfId="0" applyFill="1" applyBorder="1" applyAlignment="1">
      <alignment vertical="center"/>
    </xf>
    <xf numFmtId="0" fontId="0" fillId="55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76" fontId="25" fillId="0" borderId="0" xfId="0" applyNumberFormat="1" applyFont="1" applyBorder="1">
      <alignment vertical="center"/>
    </xf>
    <xf numFmtId="176" fontId="25" fillId="0" borderId="0" xfId="0" applyNumberFormat="1" applyFont="1">
      <alignment vertical="center"/>
    </xf>
    <xf numFmtId="176" fontId="25" fillId="0" borderId="0" xfId="0" applyNumberFormat="1" applyFont="1" applyFill="1" applyBorder="1">
      <alignment vertical="center"/>
    </xf>
    <xf numFmtId="11" fontId="26" fillId="0" borderId="0" xfId="0" applyNumberFormat="1" applyFont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55" borderId="23" xfId="0" quotePrefix="1" applyFill="1" applyBorder="1" applyAlignment="1">
      <alignment horizontal="center" vertical="center"/>
    </xf>
    <xf numFmtId="0" fontId="0" fillId="55" borderId="0" xfId="0" quotePrefix="1" applyFill="1" applyBorder="1" applyAlignment="1">
      <alignment horizontal="center" vertical="center"/>
    </xf>
    <xf numFmtId="0" fontId="0" fillId="55" borderId="0" xfId="0" applyFill="1" applyBorder="1" applyAlignment="1">
      <alignment horizontal="center" vertical="center"/>
    </xf>
    <xf numFmtId="0" fontId="0" fillId="55" borderId="24" xfId="0" applyFill="1" applyBorder="1" applyAlignment="1">
      <alignment horizontal="center" vertical="center"/>
    </xf>
    <xf numFmtId="0" fontId="0" fillId="55" borderId="24" xfId="0" quotePrefix="1" applyFill="1" applyBorder="1" applyAlignment="1">
      <alignment horizontal="center" vertical="center"/>
    </xf>
    <xf numFmtId="0" fontId="0" fillId="55" borderId="23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7" borderId="23" xfId="0" applyFill="1" applyBorder="1" applyAlignment="1">
      <alignment horizontal="center" vertical="center"/>
    </xf>
    <xf numFmtId="0" fontId="0" fillId="57" borderId="0" xfId="0" applyFill="1" applyBorder="1" applyAlignment="1">
      <alignment horizontal="center" vertical="center"/>
    </xf>
    <xf numFmtId="0" fontId="0" fillId="57" borderId="24" xfId="0" applyFill="1" applyBorder="1" applyAlignment="1">
      <alignment horizontal="center" vertical="center"/>
    </xf>
    <xf numFmtId="0" fontId="0" fillId="55" borderId="23" xfId="0" quotePrefix="1" applyFill="1" applyBorder="1" applyAlignment="1">
      <alignment horizontal="center" vertical="center" wrapText="1"/>
    </xf>
    <xf numFmtId="0" fontId="0" fillId="55" borderId="20" xfId="0" applyFill="1" applyBorder="1" applyAlignment="1">
      <alignment horizontal="center" vertical="center"/>
    </xf>
    <xf numFmtId="0" fontId="0" fillId="55" borderId="21" xfId="0" applyFill="1" applyBorder="1" applyAlignment="1">
      <alignment horizontal="center" vertical="center"/>
    </xf>
    <xf numFmtId="0" fontId="0" fillId="56" borderId="20" xfId="0" applyFill="1" applyBorder="1" applyAlignment="1">
      <alignment horizontal="center" vertical="center"/>
    </xf>
    <xf numFmtId="0" fontId="0" fillId="56" borderId="21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277089</xdr:colOff>
      <xdr:row>141</xdr:row>
      <xdr:rowOff>207817</xdr:rowOff>
    </xdr:from>
    <xdr:to>
      <xdr:col>9</xdr:col>
      <xdr:colOff>380999</xdr:colOff>
      <xdr:row>168</xdr:row>
      <xdr:rowOff>90830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E4140C-CD4C-459F-AF6E-752EFCC0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089" y="29614090"/>
          <a:ext cx="6061365" cy="5563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CF99-9B42-4D18-824D-4C69578F277B}">
  <dimension ref="A1:J60"/>
  <sheetViews>
    <sheetView topLeftCell="C16" workbookViewId="0">
      <selection activeCell="E52" sqref="E52"/>
    </sheetView>
  </sheetViews>
  <sheetFormatPr defaultRowHeight="16.5"/>
  <cols>
    <col min="1" max="1" width="21.375" style="103" hidden="1" customWidth="1"/>
    <col min="2" max="2" width="16.375" style="103" hidden="1" customWidth="1"/>
    <col min="3" max="3" width="16.375" style="103" bestFit="1" customWidth="1"/>
    <col min="4" max="4" width="49.875" style="103" bestFit="1" customWidth="1"/>
    <col min="5" max="5" width="48.875" style="103" bestFit="1" customWidth="1"/>
    <col min="6" max="6" width="11" style="103" bestFit="1" customWidth="1"/>
    <col min="7" max="7" width="12.125" style="103" bestFit="1" customWidth="1"/>
    <col min="8" max="8" width="13" style="103" bestFit="1" customWidth="1"/>
    <col min="9" max="9" width="9" style="103"/>
    <col min="10" max="10" width="49.875" style="103" bestFit="1" customWidth="1"/>
    <col min="11" max="16384" width="9" style="103"/>
  </cols>
  <sheetData>
    <row r="1" spans="1:10">
      <c r="J1" s="110"/>
    </row>
    <row r="2" spans="1:10">
      <c r="J2" s="109"/>
    </row>
    <row r="3" spans="1:10">
      <c r="D3" s="80"/>
      <c r="E3" s="80"/>
      <c r="J3" s="110"/>
    </row>
    <row r="4" spans="1:10">
      <c r="A4" s="119">
        <v>22</v>
      </c>
      <c r="B4" s="119">
        <v>6</v>
      </c>
      <c r="D4" s="123">
        <v>999</v>
      </c>
      <c r="E4" s="126" t="s">
        <v>78</v>
      </c>
      <c r="G4" s="111">
        <v>0</v>
      </c>
      <c r="H4" s="111">
        <v>1</v>
      </c>
      <c r="J4" s="109"/>
    </row>
    <row r="5" spans="1:10">
      <c r="A5" s="119">
        <v>38</v>
      </c>
      <c r="B5" s="119">
        <v>40</v>
      </c>
      <c r="D5" s="127" t="s">
        <v>191</v>
      </c>
      <c r="E5" s="126" t="s">
        <v>190</v>
      </c>
      <c r="G5" s="111">
        <v>2</v>
      </c>
      <c r="H5" s="111">
        <v>3</v>
      </c>
      <c r="J5" s="110"/>
    </row>
    <row r="6" spans="1:10">
      <c r="A6" s="119">
        <v>1</v>
      </c>
      <c r="B6" s="119">
        <v>2</v>
      </c>
      <c r="D6" s="80"/>
      <c r="E6" s="127" t="s">
        <v>181</v>
      </c>
      <c r="G6" s="111">
        <v>4</v>
      </c>
      <c r="H6" s="111">
        <v>5</v>
      </c>
      <c r="J6" s="109"/>
    </row>
    <row r="7" spans="1:10">
      <c r="A7" s="119">
        <v>3</v>
      </c>
      <c r="B7" s="119">
        <v>36</v>
      </c>
      <c r="D7" s="127" t="s">
        <v>183</v>
      </c>
      <c r="E7" s="127" t="s">
        <v>199</v>
      </c>
      <c r="G7" s="111">
        <v>6</v>
      </c>
      <c r="H7" s="111">
        <v>7</v>
      </c>
      <c r="J7" s="110"/>
    </row>
    <row r="8" spans="1:10">
      <c r="A8" s="119">
        <v>26</v>
      </c>
      <c r="B8" s="119">
        <v>27</v>
      </c>
      <c r="D8" s="80"/>
      <c r="E8" s="127" t="s">
        <v>200</v>
      </c>
      <c r="G8" s="111">
        <v>8</v>
      </c>
      <c r="H8" s="111">
        <v>9</v>
      </c>
      <c r="J8" s="109"/>
    </row>
    <row r="9" spans="1:10">
      <c r="A9" s="119">
        <v>11</v>
      </c>
      <c r="B9" s="119">
        <v>37</v>
      </c>
      <c r="D9" s="127" t="s">
        <v>201</v>
      </c>
      <c r="E9" s="127" t="s">
        <v>202</v>
      </c>
      <c r="G9" s="111">
        <v>10</v>
      </c>
      <c r="H9" s="111">
        <v>11</v>
      </c>
      <c r="J9" s="110"/>
    </row>
    <row r="10" spans="1:10">
      <c r="A10" s="119">
        <v>34</v>
      </c>
      <c r="B10" s="119">
        <v>35</v>
      </c>
      <c r="D10" s="80"/>
      <c r="E10" s="127" t="s">
        <v>195</v>
      </c>
      <c r="G10" s="111">
        <v>12</v>
      </c>
      <c r="H10" s="111">
        <v>13</v>
      </c>
      <c r="J10" s="109"/>
    </row>
    <row r="11" spans="1:10">
      <c r="A11" s="119">
        <v>23</v>
      </c>
      <c r="B11" s="119">
        <v>24</v>
      </c>
      <c r="D11" s="127" t="s">
        <v>196</v>
      </c>
      <c r="E11" s="121" t="s">
        <v>182</v>
      </c>
      <c r="G11" s="111">
        <v>14</v>
      </c>
      <c r="H11" s="111">
        <v>15</v>
      </c>
      <c r="J11" s="110"/>
    </row>
    <row r="12" spans="1:10">
      <c r="A12" s="119">
        <v>12</v>
      </c>
      <c r="B12" s="119">
        <v>4</v>
      </c>
      <c r="D12" s="120" t="s">
        <v>188</v>
      </c>
      <c r="E12" s="127" t="s">
        <v>185</v>
      </c>
      <c r="G12" s="111">
        <v>16</v>
      </c>
      <c r="H12" s="111">
        <v>17</v>
      </c>
      <c r="J12" s="109"/>
    </row>
    <row r="13" spans="1:10">
      <c r="A13" s="119">
        <v>10</v>
      </c>
      <c r="B13" s="119">
        <v>25</v>
      </c>
      <c r="D13" s="80"/>
      <c r="E13" s="127" t="s">
        <v>203</v>
      </c>
      <c r="G13" s="111">
        <v>18</v>
      </c>
      <c r="H13" s="111">
        <v>19</v>
      </c>
      <c r="J13" s="110"/>
    </row>
    <row r="14" spans="1:10">
      <c r="A14" s="119">
        <v>33</v>
      </c>
      <c r="B14" s="119">
        <v>41</v>
      </c>
      <c r="D14" s="80"/>
      <c r="E14" s="80"/>
      <c r="G14" s="111">
        <v>20</v>
      </c>
      <c r="H14" s="111">
        <v>21</v>
      </c>
    </row>
    <row r="15" spans="1:10">
      <c r="A15" s="119">
        <v>50</v>
      </c>
      <c r="B15" s="119">
        <v>42</v>
      </c>
      <c r="D15" s="80"/>
      <c r="E15" s="80" t="s">
        <v>184</v>
      </c>
      <c r="G15" s="111">
        <v>22</v>
      </c>
      <c r="H15" s="111">
        <v>23</v>
      </c>
    </row>
    <row r="16" spans="1:10">
      <c r="A16" s="119">
        <v>44</v>
      </c>
      <c r="B16" s="119">
        <v>45</v>
      </c>
      <c r="D16" s="80"/>
      <c r="E16" s="122" t="s">
        <v>198</v>
      </c>
      <c r="G16" s="111">
        <v>24</v>
      </c>
      <c r="H16" s="111">
        <v>25</v>
      </c>
    </row>
    <row r="17" spans="1:8">
      <c r="A17" s="119">
        <v>46</v>
      </c>
      <c r="B17" s="119">
        <v>47</v>
      </c>
      <c r="D17" s="80" t="s">
        <v>193</v>
      </c>
      <c r="E17" s="125" t="s">
        <v>194</v>
      </c>
      <c r="G17" s="111">
        <v>26</v>
      </c>
      <c r="H17" s="111">
        <v>27</v>
      </c>
    </row>
    <row r="18" spans="1:8">
      <c r="A18" s="119">
        <v>75</v>
      </c>
      <c r="B18" s="119">
        <v>76</v>
      </c>
      <c r="D18" s="80"/>
      <c r="E18" s="122">
        <v>0.90700000000000003</v>
      </c>
      <c r="G18" s="111">
        <v>28</v>
      </c>
      <c r="H18" s="111">
        <v>29</v>
      </c>
    </row>
    <row r="19" spans="1:8">
      <c r="A19" s="119">
        <v>77</v>
      </c>
      <c r="B19" s="119">
        <v>78</v>
      </c>
      <c r="D19" s="80">
        <v>0.95199999999999996</v>
      </c>
      <c r="E19" s="80" t="s">
        <v>197</v>
      </c>
      <c r="G19" s="111">
        <v>30</v>
      </c>
      <c r="H19" s="111">
        <v>31</v>
      </c>
    </row>
    <row r="20" spans="1:8">
      <c r="A20" s="119">
        <v>79</v>
      </c>
      <c r="B20" s="119">
        <v>73</v>
      </c>
      <c r="D20" s="80" t="s">
        <v>197</v>
      </c>
      <c r="E20" s="80" t="s">
        <v>197</v>
      </c>
      <c r="G20" s="111">
        <v>32</v>
      </c>
      <c r="H20" s="111">
        <v>33</v>
      </c>
    </row>
    <row r="21" spans="1:8">
      <c r="A21" s="119">
        <v>74</v>
      </c>
      <c r="B21" s="119">
        <v>48</v>
      </c>
      <c r="D21" s="80" t="s">
        <v>186</v>
      </c>
      <c r="E21" s="80" t="s">
        <v>187</v>
      </c>
      <c r="G21" s="111">
        <v>34</v>
      </c>
      <c r="H21" s="111">
        <v>35</v>
      </c>
    </row>
    <row r="22" spans="1:8">
      <c r="D22" s="80" t="s">
        <v>189</v>
      </c>
      <c r="E22" s="80" t="s">
        <v>192</v>
      </c>
      <c r="G22" s="111">
        <v>36</v>
      </c>
      <c r="H22" s="111">
        <v>37</v>
      </c>
    </row>
    <row r="23" spans="1:8">
      <c r="D23" s="80">
        <v>2</v>
      </c>
      <c r="E23" s="80"/>
      <c r="G23" s="111">
        <v>38</v>
      </c>
      <c r="H23" s="111">
        <v>39</v>
      </c>
    </row>
    <row r="24" spans="1:8">
      <c r="D24" s="80" t="s">
        <v>184</v>
      </c>
      <c r="E24" s="123">
        <v>999</v>
      </c>
      <c r="G24" s="111">
        <v>40</v>
      </c>
      <c r="H24" s="111">
        <v>41</v>
      </c>
    </row>
    <row r="25" spans="1:8">
      <c r="D25" s="123">
        <v>999</v>
      </c>
      <c r="E25" s="123">
        <v>999</v>
      </c>
      <c r="G25" s="111">
        <v>42</v>
      </c>
      <c r="H25" s="111">
        <v>43</v>
      </c>
    </row>
    <row r="27" spans="1:8">
      <c r="E27" s="110">
        <v>194049376</v>
      </c>
    </row>
    <row r="28" spans="1:8">
      <c r="E28" s="110">
        <v>194049776</v>
      </c>
      <c r="F28" s="103">
        <f>E28-E27</f>
        <v>400</v>
      </c>
    </row>
    <row r="29" spans="1:8">
      <c r="E29" s="110">
        <v>194050368</v>
      </c>
      <c r="F29" s="103">
        <f>E29-E28</f>
        <v>592</v>
      </c>
    </row>
    <row r="30" spans="1:8">
      <c r="E30" s="110">
        <v>220541568</v>
      </c>
      <c r="F30" s="103">
        <f>E30-E29</f>
        <v>26491200</v>
      </c>
    </row>
    <row r="31" spans="1:8">
      <c r="F31" s="103">
        <f>F30/1000</f>
        <v>26491.200000000001</v>
      </c>
    </row>
    <row r="33" spans="3:8" ht="17.25" thickBot="1">
      <c r="C33" s="103" t="s">
        <v>226</v>
      </c>
      <c r="D33" s="103" t="s">
        <v>225</v>
      </c>
    </row>
    <row r="34" spans="3:8">
      <c r="D34" s="133" t="s">
        <v>224</v>
      </c>
      <c r="E34" s="134"/>
      <c r="F34" s="135"/>
      <c r="G34" s="136">
        <v>0</v>
      </c>
      <c r="H34" s="137">
        <v>1</v>
      </c>
    </row>
    <row r="35" spans="3:8" ht="17.25" thickBot="1">
      <c r="D35" s="138"/>
      <c r="E35" s="129"/>
      <c r="F35" s="89"/>
      <c r="G35" s="130">
        <v>2</v>
      </c>
      <c r="H35" s="139">
        <v>3</v>
      </c>
    </row>
    <row r="36" spans="3:8">
      <c r="D36" s="138" t="s">
        <v>204</v>
      </c>
      <c r="E36" s="129" t="s">
        <v>215</v>
      </c>
      <c r="F36" s="89"/>
      <c r="G36" s="136">
        <v>4</v>
      </c>
      <c r="H36" s="137">
        <v>5</v>
      </c>
    </row>
    <row r="37" spans="3:8" ht="17.25" thickBot="1">
      <c r="D37" s="138" t="s">
        <v>220</v>
      </c>
      <c r="E37" s="129" t="s">
        <v>221</v>
      </c>
      <c r="F37" s="89"/>
      <c r="G37" s="130">
        <v>6</v>
      </c>
      <c r="H37" s="139">
        <v>7</v>
      </c>
    </row>
    <row r="38" spans="3:8">
      <c r="D38" s="138" t="s">
        <v>222</v>
      </c>
      <c r="E38" s="129" t="s">
        <v>205</v>
      </c>
      <c r="F38" s="89"/>
      <c r="G38" s="136">
        <v>8</v>
      </c>
      <c r="H38" s="137">
        <v>9</v>
      </c>
    </row>
    <row r="39" spans="3:8" ht="17.25" thickBot="1">
      <c r="D39" s="138" t="s">
        <v>206</v>
      </c>
      <c r="E39" s="129" t="s">
        <v>207</v>
      </c>
      <c r="F39" s="89"/>
      <c r="G39" s="130">
        <v>10</v>
      </c>
      <c r="H39" s="139">
        <v>11</v>
      </c>
    </row>
    <row r="40" spans="3:8">
      <c r="D40" s="138" t="s">
        <v>208</v>
      </c>
      <c r="E40" s="129"/>
      <c r="F40" s="89"/>
      <c r="G40" s="136">
        <v>12</v>
      </c>
      <c r="H40" s="137">
        <v>13</v>
      </c>
    </row>
    <row r="41" spans="3:8" ht="17.25" thickBot="1">
      <c r="D41" s="138" t="s">
        <v>209</v>
      </c>
      <c r="E41" s="129" t="s">
        <v>223</v>
      </c>
      <c r="F41" s="89"/>
      <c r="G41" s="130">
        <v>14</v>
      </c>
      <c r="H41" s="139">
        <v>15</v>
      </c>
    </row>
    <row r="42" spans="3:8">
      <c r="D42" s="138"/>
      <c r="E42" s="129"/>
      <c r="F42" s="89"/>
      <c r="G42" s="136">
        <v>16</v>
      </c>
      <c r="H42" s="137">
        <v>17</v>
      </c>
    </row>
    <row r="43" spans="3:8" ht="17.25" thickBot="1">
      <c r="D43" s="138"/>
      <c r="E43" s="129" t="s">
        <v>216</v>
      </c>
      <c r="F43" s="89"/>
      <c r="G43" s="130">
        <v>18</v>
      </c>
      <c r="H43" s="139">
        <v>19</v>
      </c>
    </row>
    <row r="44" spans="3:8">
      <c r="D44" s="138" t="s">
        <v>217</v>
      </c>
      <c r="E44" s="129" t="s">
        <v>218</v>
      </c>
      <c r="F44" s="89"/>
      <c r="G44" s="136">
        <v>20</v>
      </c>
      <c r="H44" s="137">
        <v>21</v>
      </c>
    </row>
    <row r="45" spans="3:8" ht="17.25" thickBot="1">
      <c r="D45" s="138" t="s">
        <v>219</v>
      </c>
      <c r="E45" s="129" t="s">
        <v>210</v>
      </c>
      <c r="F45" s="89"/>
      <c r="G45" s="130">
        <v>22</v>
      </c>
      <c r="H45" s="139">
        <v>23</v>
      </c>
    </row>
    <row r="46" spans="3:8">
      <c r="D46" s="138"/>
      <c r="E46" s="129"/>
      <c r="F46" s="89"/>
      <c r="G46" s="136">
        <v>24</v>
      </c>
      <c r="H46" s="137">
        <v>25</v>
      </c>
    </row>
    <row r="47" spans="3:8" ht="17.25" thickBot="1">
      <c r="D47" s="138" t="s">
        <v>211</v>
      </c>
      <c r="E47" s="129" t="s">
        <v>197</v>
      </c>
      <c r="F47" s="89"/>
      <c r="G47" s="130">
        <v>26</v>
      </c>
      <c r="H47" s="139">
        <v>27</v>
      </c>
    </row>
    <row r="48" spans="3:8">
      <c r="D48" s="138" t="s">
        <v>197</v>
      </c>
      <c r="E48" s="129" t="s">
        <v>217</v>
      </c>
      <c r="F48" s="89"/>
      <c r="G48" s="136">
        <v>28</v>
      </c>
      <c r="H48" s="137">
        <v>29</v>
      </c>
    </row>
    <row r="49" spans="3:8" ht="17.25" thickBot="1">
      <c r="D49" s="138"/>
      <c r="E49" s="129"/>
      <c r="F49" s="89"/>
      <c r="G49" s="130">
        <v>30</v>
      </c>
      <c r="H49" s="139">
        <v>31</v>
      </c>
    </row>
    <row r="50" spans="3:8">
      <c r="D50" s="138"/>
      <c r="E50" s="129"/>
      <c r="F50" s="89"/>
      <c r="G50" s="136">
        <v>32</v>
      </c>
      <c r="H50" s="137">
        <v>33</v>
      </c>
    </row>
    <row r="51" spans="3:8" ht="17.25" thickBot="1">
      <c r="D51" s="138"/>
      <c r="E51" s="129"/>
      <c r="F51" s="89"/>
      <c r="G51" s="130">
        <v>34</v>
      </c>
      <c r="H51" s="139">
        <v>35</v>
      </c>
    </row>
    <row r="52" spans="3:8">
      <c r="D52" s="138"/>
      <c r="E52" s="129" t="s">
        <v>212</v>
      </c>
      <c r="F52" s="89"/>
      <c r="G52" s="136">
        <v>36</v>
      </c>
      <c r="H52" s="137">
        <v>37</v>
      </c>
    </row>
    <row r="53" spans="3:8" ht="17.25" thickBot="1">
      <c r="D53" s="138" t="s">
        <v>213</v>
      </c>
      <c r="E53" s="129" t="s">
        <v>214</v>
      </c>
      <c r="F53" s="89"/>
      <c r="G53" s="130">
        <v>38</v>
      </c>
      <c r="H53" s="139">
        <v>39</v>
      </c>
    </row>
    <row r="54" spans="3:8">
      <c r="D54" s="140"/>
      <c r="E54" s="129" t="s">
        <v>211</v>
      </c>
      <c r="F54" s="89"/>
      <c r="G54" s="136">
        <v>40</v>
      </c>
      <c r="H54" s="137">
        <v>41</v>
      </c>
    </row>
    <row r="55" spans="3:8" ht="17.25" thickBot="1">
      <c r="D55" s="138">
        <v>999</v>
      </c>
      <c r="E55" s="129">
        <v>999</v>
      </c>
      <c r="F55" s="89"/>
      <c r="G55" s="130">
        <v>42</v>
      </c>
      <c r="H55" s="139">
        <v>43</v>
      </c>
    </row>
    <row r="56" spans="3:8" ht="17.25" thickBot="1">
      <c r="D56" s="141">
        <v>999</v>
      </c>
      <c r="E56" s="142">
        <v>999</v>
      </c>
      <c r="F56" s="143"/>
      <c r="G56" s="136">
        <v>44</v>
      </c>
      <c r="H56" s="137">
        <v>45</v>
      </c>
    </row>
    <row r="58" spans="3:8">
      <c r="D58" s="103" t="s">
        <v>228</v>
      </c>
    </row>
    <row r="60" spans="3:8">
      <c r="C60" s="103" t="s">
        <v>227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61E0-33E6-42B3-B464-45E167BECB1A}">
  <dimension ref="B1:AD273"/>
  <sheetViews>
    <sheetView topLeftCell="A145" zoomScale="55" zoomScaleNormal="55" workbookViewId="0">
      <selection activeCell="J152" sqref="J152"/>
    </sheetView>
  </sheetViews>
  <sheetFormatPr defaultRowHeight="16.5"/>
  <cols>
    <col min="1" max="1" width="5.375" style="103" customWidth="1"/>
    <col min="2" max="23" width="9" style="103"/>
    <col min="24" max="24" width="14.25" style="103" bestFit="1" customWidth="1"/>
    <col min="25" max="25" width="12.875" style="103" bestFit="1" customWidth="1"/>
    <col min="26" max="16384" width="9" style="103"/>
  </cols>
  <sheetData>
    <row r="1" spans="2:29" ht="17.25" thickBot="1">
      <c r="B1" s="111" t="s">
        <v>245</v>
      </c>
      <c r="K1" s="103" t="s">
        <v>241</v>
      </c>
    </row>
    <row r="2" spans="2:29" ht="17.25" thickTop="1">
      <c r="B2" s="186" t="s">
        <v>244</v>
      </c>
      <c r="C2" s="187"/>
      <c r="D2" s="187"/>
      <c r="E2" s="187"/>
      <c r="F2" s="180" t="s">
        <v>192</v>
      </c>
      <c r="G2" s="180"/>
      <c r="H2" s="180"/>
      <c r="I2" s="181"/>
      <c r="K2" s="186">
        <v>20240905</v>
      </c>
      <c r="L2" s="187"/>
      <c r="M2" s="187"/>
      <c r="N2" s="187"/>
      <c r="O2" s="128"/>
      <c r="P2" s="128"/>
      <c r="Q2" s="128"/>
      <c r="R2" s="144"/>
      <c r="T2" s="148">
        <v>0</v>
      </c>
      <c r="U2" s="149">
        <v>1</v>
      </c>
      <c r="V2" s="149">
        <v>2</v>
      </c>
      <c r="W2" s="149">
        <v>3</v>
      </c>
      <c r="X2" s="128">
        <v>4</v>
      </c>
      <c r="Y2" s="128">
        <v>5</v>
      </c>
      <c r="Z2" s="128">
        <v>6</v>
      </c>
      <c r="AA2" s="144">
        <v>7</v>
      </c>
      <c r="AC2" s="162">
        <v>3.3048242600814898E-38</v>
      </c>
    </row>
    <row r="3" spans="2:29">
      <c r="B3" s="178" t="s">
        <v>243</v>
      </c>
      <c r="C3" s="175"/>
      <c r="D3" s="175"/>
      <c r="E3" s="175"/>
      <c r="F3" s="175"/>
      <c r="G3" s="175"/>
      <c r="H3" s="175"/>
      <c r="I3" s="176"/>
      <c r="K3" s="173" t="s">
        <v>242</v>
      </c>
      <c r="L3" s="174"/>
      <c r="M3" s="174"/>
      <c r="N3" s="174"/>
      <c r="O3" s="174"/>
      <c r="P3" s="174"/>
      <c r="Q3" s="174"/>
      <c r="R3" s="177"/>
      <c r="T3" s="145">
        <v>8</v>
      </c>
      <c r="U3" s="89">
        <v>9</v>
      </c>
      <c r="V3" s="89">
        <v>10</v>
      </c>
      <c r="W3" s="89">
        <v>11</v>
      </c>
      <c r="X3" s="89">
        <v>12</v>
      </c>
      <c r="Y3" s="89">
        <v>13</v>
      </c>
      <c r="Z3" s="89">
        <v>14</v>
      </c>
      <c r="AA3" s="146">
        <v>15</v>
      </c>
      <c r="AC3" s="162">
        <v>5.74532370373175E-42</v>
      </c>
    </row>
    <row r="4" spans="2:29">
      <c r="B4" s="178"/>
      <c r="C4" s="175"/>
      <c r="D4" s="175"/>
      <c r="E4" s="175"/>
      <c r="F4" s="175"/>
      <c r="G4" s="175"/>
      <c r="H4" s="175"/>
      <c r="I4" s="176"/>
      <c r="K4" s="173"/>
      <c r="L4" s="174"/>
      <c r="M4" s="174"/>
      <c r="N4" s="174"/>
      <c r="O4" s="174"/>
      <c r="P4" s="174"/>
      <c r="Q4" s="174"/>
      <c r="R4" s="177"/>
      <c r="T4" s="150">
        <v>16</v>
      </c>
      <c r="U4" s="151">
        <v>17</v>
      </c>
      <c r="V4" s="151">
        <v>18</v>
      </c>
      <c r="W4" s="151">
        <v>19</v>
      </c>
      <c r="X4" s="89">
        <v>20</v>
      </c>
      <c r="Y4" s="89">
        <v>21</v>
      </c>
      <c r="Z4" s="89">
        <v>22</v>
      </c>
      <c r="AA4" s="146">
        <v>23</v>
      </c>
      <c r="AC4" s="162">
        <v>6.6380300722812503E-7</v>
      </c>
    </row>
    <row r="5" spans="2:29">
      <c r="B5" s="178"/>
      <c r="C5" s="175"/>
      <c r="D5" s="175"/>
      <c r="E5" s="175"/>
      <c r="F5" s="175"/>
      <c r="G5" s="175"/>
      <c r="H5" s="175"/>
      <c r="I5" s="176"/>
      <c r="K5" s="173"/>
      <c r="L5" s="174"/>
      <c r="M5" s="174"/>
      <c r="N5" s="174"/>
      <c r="O5" s="174"/>
      <c r="P5" s="174"/>
      <c r="Q5" s="174"/>
      <c r="R5" s="177"/>
      <c r="T5" s="145">
        <v>24</v>
      </c>
      <c r="U5" s="89">
        <v>25</v>
      </c>
      <c r="V5" s="89">
        <v>26</v>
      </c>
      <c r="W5" s="89">
        <v>27</v>
      </c>
      <c r="X5" s="89">
        <v>28</v>
      </c>
      <c r="Y5" s="89">
        <v>29</v>
      </c>
      <c r="Z5" s="89">
        <v>30</v>
      </c>
      <c r="AA5" s="146">
        <v>31</v>
      </c>
      <c r="AC5" s="162">
        <v>1.024251256726E-11</v>
      </c>
    </row>
    <row r="6" spans="2:29">
      <c r="B6" s="150"/>
      <c r="C6" s="151"/>
      <c r="D6" s="151"/>
      <c r="E6" s="151"/>
      <c r="F6" s="89"/>
      <c r="G6" s="89"/>
      <c r="H6" s="89"/>
      <c r="I6" s="146"/>
      <c r="K6" s="150"/>
      <c r="L6" s="151"/>
      <c r="M6" s="151"/>
      <c r="N6" s="151"/>
      <c r="O6" s="89"/>
      <c r="P6" s="89"/>
      <c r="Q6" s="89"/>
      <c r="R6" s="146"/>
      <c r="T6" s="150">
        <v>32</v>
      </c>
      <c r="U6" s="151">
        <v>33</v>
      </c>
      <c r="V6" s="151">
        <v>34</v>
      </c>
      <c r="W6" s="151">
        <v>35</v>
      </c>
      <c r="X6" s="89">
        <v>36</v>
      </c>
      <c r="Y6" s="89">
        <v>37</v>
      </c>
      <c r="Z6" s="89">
        <v>38</v>
      </c>
      <c r="AA6" s="146">
        <v>39</v>
      </c>
      <c r="AC6" s="162">
        <v>2.3314434827170701E-9</v>
      </c>
    </row>
    <row r="7" spans="2:29">
      <c r="B7" s="145"/>
      <c r="C7" s="89"/>
      <c r="D7" s="89"/>
      <c r="E7" s="89"/>
      <c r="F7" s="89"/>
      <c r="G7" s="89"/>
      <c r="H7" s="89"/>
      <c r="I7" s="146"/>
      <c r="K7" s="145"/>
      <c r="L7" s="89"/>
      <c r="M7" s="89"/>
      <c r="N7" s="89"/>
      <c r="O7" s="89"/>
      <c r="P7" s="89"/>
      <c r="Q7" s="89"/>
      <c r="R7" s="146"/>
      <c r="T7" s="145">
        <v>40</v>
      </c>
      <c r="U7" s="89">
        <v>41</v>
      </c>
      <c r="V7" s="89">
        <v>42</v>
      </c>
      <c r="W7" s="89">
        <v>43</v>
      </c>
      <c r="X7" s="89">
        <v>44</v>
      </c>
      <c r="Y7" s="89">
        <v>45</v>
      </c>
      <c r="Z7" s="89">
        <v>46</v>
      </c>
      <c r="AA7" s="146">
        <v>47</v>
      </c>
      <c r="AC7" s="110">
        <v>1.7187820049002699E-4</v>
      </c>
    </row>
    <row r="8" spans="2:29">
      <c r="B8" s="150"/>
      <c r="C8" s="151"/>
      <c r="D8" s="151"/>
      <c r="E8" s="151"/>
      <c r="F8" s="89"/>
      <c r="G8" s="89"/>
      <c r="H8" s="89"/>
      <c r="I8" s="146"/>
      <c r="K8" s="150"/>
      <c r="L8" s="151"/>
      <c r="M8" s="151"/>
      <c r="N8" s="151"/>
      <c r="O8" s="89"/>
      <c r="P8" s="89"/>
      <c r="Q8" s="89"/>
      <c r="R8" s="146"/>
      <c r="T8" s="150">
        <v>48</v>
      </c>
      <c r="U8" s="151">
        <v>49</v>
      </c>
      <c r="V8" s="151">
        <v>50</v>
      </c>
      <c r="W8" s="151">
        <v>51</v>
      </c>
      <c r="X8" s="89">
        <v>52</v>
      </c>
      <c r="Y8" s="89">
        <v>53</v>
      </c>
      <c r="Z8" s="89">
        <v>54</v>
      </c>
      <c r="AA8" s="146">
        <v>55</v>
      </c>
      <c r="AC8" s="162">
        <v>4.0061488848497297E-11</v>
      </c>
    </row>
    <row r="9" spans="2:29">
      <c r="B9" s="145"/>
      <c r="C9" s="89"/>
      <c r="D9" s="89"/>
      <c r="E9" s="89"/>
      <c r="F9" s="89"/>
      <c r="G9" s="89"/>
      <c r="H9" s="89"/>
      <c r="I9" s="146"/>
      <c r="K9" s="145"/>
      <c r="L9" s="89"/>
      <c r="M9" s="89"/>
      <c r="N9" s="89"/>
      <c r="O9" s="89"/>
      <c r="P9" s="89"/>
      <c r="Q9" s="89"/>
      <c r="R9" s="146"/>
      <c r="T9" s="145">
        <v>56</v>
      </c>
      <c r="U9" s="89">
        <v>57</v>
      </c>
      <c r="V9" s="89">
        <v>58</v>
      </c>
      <c r="W9" s="89">
        <v>59</v>
      </c>
      <c r="X9" s="89">
        <v>60</v>
      </c>
      <c r="Y9" s="89">
        <v>61</v>
      </c>
      <c r="Z9" s="89">
        <v>62</v>
      </c>
      <c r="AA9" s="146">
        <v>63</v>
      </c>
      <c r="AC9" s="162">
        <v>4.7941727528927799E-39</v>
      </c>
    </row>
    <row r="10" spans="2:29">
      <c r="B10" s="150"/>
      <c r="C10" s="151"/>
      <c r="D10" s="151"/>
      <c r="E10" s="151"/>
      <c r="F10" s="89"/>
      <c r="G10" s="89"/>
      <c r="H10" s="89"/>
      <c r="I10" s="146"/>
      <c r="K10" s="150"/>
      <c r="L10" s="151"/>
      <c r="M10" s="151"/>
      <c r="N10" s="151"/>
      <c r="O10" s="89"/>
      <c r="P10" s="89"/>
      <c r="Q10" s="89"/>
      <c r="R10" s="146"/>
      <c r="T10" s="150">
        <v>64</v>
      </c>
      <c r="U10" s="151">
        <v>65</v>
      </c>
      <c r="V10" s="151">
        <v>66</v>
      </c>
      <c r="W10" s="151">
        <v>67</v>
      </c>
      <c r="X10" s="89">
        <v>68</v>
      </c>
      <c r="Y10" s="89">
        <v>69</v>
      </c>
      <c r="Z10" s="89">
        <v>70</v>
      </c>
      <c r="AA10" s="146">
        <v>71</v>
      </c>
      <c r="AC10" s="110">
        <v>0</v>
      </c>
    </row>
    <row r="11" spans="2:29">
      <c r="B11" s="145"/>
      <c r="C11" s="89"/>
      <c r="D11" s="89"/>
      <c r="E11" s="89"/>
      <c r="F11" s="89"/>
      <c r="G11" s="89"/>
      <c r="H11" s="89"/>
      <c r="I11" s="146"/>
      <c r="K11" s="145"/>
      <c r="L11" s="89"/>
      <c r="M11" s="89"/>
      <c r="N11" s="89"/>
      <c r="O11" s="89"/>
      <c r="P11" s="89"/>
      <c r="Q11" s="89"/>
      <c r="R11" s="146"/>
      <c r="T11" s="145">
        <v>72</v>
      </c>
      <c r="U11" s="89">
        <v>73</v>
      </c>
      <c r="V11" s="89">
        <v>74</v>
      </c>
      <c r="W11" s="89">
        <v>75</v>
      </c>
      <c r="X11" s="89">
        <v>76</v>
      </c>
      <c r="Y11" s="89">
        <v>77</v>
      </c>
      <c r="Z11" s="89">
        <v>78</v>
      </c>
      <c r="AA11" s="146">
        <v>79</v>
      </c>
      <c r="AC11" s="110">
        <v>0</v>
      </c>
    </row>
    <row r="12" spans="2:29">
      <c r="B12" s="150"/>
      <c r="C12" s="151"/>
      <c r="D12" s="151"/>
      <c r="E12" s="151"/>
      <c r="F12" s="89"/>
      <c r="G12" s="89"/>
      <c r="H12" s="89"/>
      <c r="I12" s="146"/>
      <c r="K12" s="150"/>
      <c r="L12" s="151"/>
      <c r="M12" s="151"/>
      <c r="N12" s="151"/>
      <c r="O12" s="89"/>
      <c r="P12" s="89"/>
      <c r="Q12" s="89"/>
      <c r="R12" s="146"/>
      <c r="T12" s="150">
        <v>80</v>
      </c>
      <c r="U12" s="151">
        <v>81</v>
      </c>
      <c r="V12" s="151">
        <v>82</v>
      </c>
      <c r="W12" s="151">
        <v>83</v>
      </c>
      <c r="X12" s="89">
        <v>84</v>
      </c>
      <c r="Y12" s="89">
        <v>85</v>
      </c>
      <c r="Z12" s="89">
        <v>86</v>
      </c>
      <c r="AA12" s="146">
        <v>87</v>
      </c>
      <c r="AC12" s="110">
        <v>0</v>
      </c>
    </row>
    <row r="13" spans="2:29">
      <c r="B13" s="145"/>
      <c r="C13" s="89"/>
      <c r="D13" s="89"/>
      <c r="E13" s="89"/>
      <c r="F13" s="89"/>
      <c r="G13" s="89"/>
      <c r="H13" s="89"/>
      <c r="I13" s="146"/>
      <c r="K13" s="145"/>
      <c r="L13" s="89"/>
      <c r="M13" s="89"/>
      <c r="N13" s="89"/>
      <c r="O13" s="89"/>
      <c r="P13" s="89"/>
      <c r="Q13" s="89"/>
      <c r="R13" s="146"/>
      <c r="T13" s="145">
        <v>88</v>
      </c>
      <c r="U13" s="89">
        <v>89</v>
      </c>
      <c r="V13" s="89">
        <v>90</v>
      </c>
      <c r="W13" s="89">
        <v>91</v>
      </c>
      <c r="X13" s="89">
        <v>92</v>
      </c>
      <c r="Y13" s="89">
        <v>93</v>
      </c>
      <c r="Z13" s="89">
        <v>94</v>
      </c>
      <c r="AA13" s="146">
        <v>95</v>
      </c>
      <c r="AC13" s="110">
        <v>0</v>
      </c>
    </row>
    <row r="14" spans="2:29">
      <c r="B14" s="150"/>
      <c r="C14" s="151"/>
      <c r="D14" s="151"/>
      <c r="E14" s="151"/>
      <c r="F14" s="89"/>
      <c r="G14" s="89"/>
      <c r="H14" s="89"/>
      <c r="I14" s="146"/>
      <c r="K14" s="150"/>
      <c r="L14" s="151"/>
      <c r="M14" s="151"/>
      <c r="N14" s="151"/>
      <c r="O14" s="89"/>
      <c r="P14" s="89"/>
      <c r="Q14" s="89"/>
      <c r="R14" s="146"/>
      <c r="T14" s="150">
        <v>96</v>
      </c>
      <c r="U14" s="151">
        <v>97</v>
      </c>
      <c r="V14" s="151">
        <v>98</v>
      </c>
      <c r="W14" s="151">
        <v>99</v>
      </c>
      <c r="X14" s="89">
        <v>100</v>
      </c>
      <c r="Y14" s="89">
        <v>101</v>
      </c>
      <c r="Z14" s="89">
        <v>102</v>
      </c>
      <c r="AA14" s="146">
        <v>103</v>
      </c>
      <c r="AC14" s="110">
        <v>0</v>
      </c>
    </row>
    <row r="15" spans="2:29">
      <c r="B15" s="145"/>
      <c r="C15" s="89"/>
      <c r="D15" s="89"/>
      <c r="E15" s="89"/>
      <c r="F15" s="89"/>
      <c r="G15" s="89"/>
      <c r="H15" s="89"/>
      <c r="I15" s="146"/>
      <c r="K15" s="145"/>
      <c r="L15" s="89"/>
      <c r="M15" s="89"/>
      <c r="N15" s="89"/>
      <c r="O15" s="89"/>
      <c r="P15" s="89"/>
      <c r="Q15" s="89"/>
      <c r="R15" s="146"/>
      <c r="T15" s="145">
        <v>104</v>
      </c>
      <c r="U15" s="89">
        <v>105</v>
      </c>
      <c r="V15" s="89">
        <v>106</v>
      </c>
      <c r="W15" s="89">
        <v>107</v>
      </c>
      <c r="X15" s="89">
        <v>108</v>
      </c>
      <c r="Y15" s="89">
        <v>109</v>
      </c>
      <c r="Z15" s="89">
        <v>110</v>
      </c>
      <c r="AA15" s="146">
        <v>111</v>
      </c>
      <c r="AC15" s="110">
        <v>0</v>
      </c>
    </row>
    <row r="16" spans="2:29">
      <c r="B16" s="150"/>
      <c r="C16" s="151"/>
      <c r="D16" s="151"/>
      <c r="E16" s="151"/>
      <c r="F16" s="89"/>
      <c r="G16" s="89"/>
      <c r="H16" s="89"/>
      <c r="I16" s="146"/>
      <c r="K16" s="150"/>
      <c r="L16" s="151"/>
      <c r="M16" s="151"/>
      <c r="N16" s="151"/>
      <c r="O16" s="89"/>
      <c r="P16" s="89"/>
      <c r="Q16" s="89"/>
      <c r="R16" s="146"/>
      <c r="T16" s="150">
        <v>112</v>
      </c>
      <c r="U16" s="151">
        <v>113</v>
      </c>
      <c r="V16" s="151">
        <v>114</v>
      </c>
      <c r="W16" s="151">
        <v>115</v>
      </c>
      <c r="X16" s="89">
        <v>116</v>
      </c>
      <c r="Y16" s="89">
        <v>117</v>
      </c>
      <c r="Z16" s="89">
        <v>118</v>
      </c>
      <c r="AA16" s="146">
        <v>119</v>
      </c>
      <c r="AC16" s="110">
        <v>0</v>
      </c>
    </row>
    <row r="17" spans="2:29">
      <c r="B17" s="145"/>
      <c r="C17" s="89"/>
      <c r="D17" s="89"/>
      <c r="E17" s="89"/>
      <c r="F17" s="89"/>
      <c r="G17" s="89"/>
      <c r="H17" s="89"/>
      <c r="I17" s="146"/>
      <c r="K17" s="145"/>
      <c r="L17" s="89"/>
      <c r="M17" s="89"/>
      <c r="N17" s="89"/>
      <c r="O17" s="89"/>
      <c r="P17" s="89"/>
      <c r="Q17" s="89"/>
      <c r="R17" s="146"/>
      <c r="T17" s="145">
        <v>120</v>
      </c>
      <c r="U17" s="89">
        <v>121</v>
      </c>
      <c r="V17" s="89">
        <v>122</v>
      </c>
      <c r="W17" s="89">
        <v>123</v>
      </c>
      <c r="X17" s="89">
        <v>124</v>
      </c>
      <c r="Y17" s="89">
        <v>125</v>
      </c>
      <c r="Z17" s="89">
        <v>126</v>
      </c>
      <c r="AA17" s="146">
        <v>127</v>
      </c>
      <c r="AC17" s="110">
        <v>0</v>
      </c>
    </row>
    <row r="18" spans="2:29">
      <c r="B18" s="150"/>
      <c r="C18" s="151"/>
      <c r="D18" s="151"/>
      <c r="E18" s="151"/>
      <c r="F18" s="89"/>
      <c r="G18" s="89"/>
      <c r="H18" s="89"/>
      <c r="I18" s="146"/>
      <c r="K18" s="150"/>
      <c r="L18" s="151"/>
      <c r="M18" s="151"/>
      <c r="N18" s="151"/>
      <c r="O18" s="89"/>
      <c r="P18" s="89"/>
      <c r="Q18" s="89"/>
      <c r="R18" s="146"/>
      <c r="T18" s="150">
        <v>128</v>
      </c>
      <c r="U18" s="151">
        <v>129</v>
      </c>
      <c r="V18" s="151">
        <v>130</v>
      </c>
      <c r="W18" s="151">
        <v>131</v>
      </c>
      <c r="X18" s="89">
        <v>132</v>
      </c>
      <c r="Y18" s="89">
        <v>133</v>
      </c>
      <c r="Z18" s="89">
        <v>134</v>
      </c>
      <c r="AA18" s="146">
        <v>135</v>
      </c>
      <c r="AC18" s="110">
        <v>0</v>
      </c>
    </row>
    <row r="19" spans="2:29">
      <c r="B19" s="145"/>
      <c r="C19" s="89"/>
      <c r="D19" s="89"/>
      <c r="E19" s="89"/>
      <c r="F19" s="89"/>
      <c r="G19" s="89"/>
      <c r="H19" s="89"/>
      <c r="I19" s="146"/>
      <c r="K19" s="145"/>
      <c r="L19" s="89"/>
      <c r="M19" s="89"/>
      <c r="N19" s="89"/>
      <c r="O19" s="89"/>
      <c r="P19" s="89"/>
      <c r="Q19" s="89"/>
      <c r="R19" s="146"/>
      <c r="T19" s="145">
        <v>136</v>
      </c>
      <c r="U19" s="89">
        <v>137</v>
      </c>
      <c r="V19" s="89">
        <v>138</v>
      </c>
      <c r="W19" s="89">
        <v>139</v>
      </c>
      <c r="X19" s="89">
        <v>140</v>
      </c>
      <c r="Y19" s="89">
        <v>141</v>
      </c>
      <c r="Z19" s="89">
        <v>142</v>
      </c>
      <c r="AA19" s="146">
        <v>143</v>
      </c>
      <c r="AC19" s="110">
        <v>0</v>
      </c>
    </row>
    <row r="20" spans="2:29">
      <c r="B20" s="150"/>
      <c r="C20" s="151"/>
      <c r="D20" s="151"/>
      <c r="E20" s="151"/>
      <c r="F20" s="89"/>
      <c r="G20" s="89"/>
      <c r="H20" s="89"/>
      <c r="I20" s="146"/>
      <c r="K20" s="150"/>
      <c r="L20" s="151"/>
      <c r="M20" s="151"/>
      <c r="N20" s="151"/>
      <c r="O20" s="89"/>
      <c r="P20" s="89"/>
      <c r="Q20" s="89"/>
      <c r="R20" s="146"/>
      <c r="T20" s="150">
        <v>144</v>
      </c>
      <c r="U20" s="151">
        <v>145</v>
      </c>
      <c r="V20" s="151">
        <v>146</v>
      </c>
      <c r="W20" s="151">
        <v>147</v>
      </c>
      <c r="X20" s="89">
        <v>148</v>
      </c>
      <c r="Y20" s="89">
        <v>149</v>
      </c>
      <c r="Z20" s="89">
        <v>150</v>
      </c>
      <c r="AA20" s="146">
        <v>151</v>
      </c>
      <c r="AC20" s="162">
        <v>1.6712460493597899E-19</v>
      </c>
    </row>
    <row r="21" spans="2:29">
      <c r="B21" s="145"/>
      <c r="C21" s="89"/>
      <c r="D21" s="89"/>
      <c r="E21" s="89"/>
      <c r="F21" s="89"/>
      <c r="G21" s="89"/>
      <c r="H21" s="89"/>
      <c r="I21" s="146"/>
      <c r="K21" s="145"/>
      <c r="L21" s="89"/>
      <c r="M21" s="89"/>
      <c r="N21" s="89"/>
      <c r="O21" s="89"/>
      <c r="P21" s="89"/>
      <c r="Q21" s="89"/>
      <c r="R21" s="146"/>
      <c r="T21" s="145">
        <v>152</v>
      </c>
      <c r="U21" s="89">
        <v>153</v>
      </c>
      <c r="V21" s="89">
        <v>154</v>
      </c>
      <c r="W21" s="89">
        <v>155</v>
      </c>
      <c r="X21" s="89">
        <v>156</v>
      </c>
      <c r="Y21" s="89">
        <v>157</v>
      </c>
      <c r="Z21" s="89">
        <v>158</v>
      </c>
      <c r="AA21" s="146">
        <v>159</v>
      </c>
      <c r="AC21" s="162">
        <v>1.0999952133152E+27</v>
      </c>
    </row>
    <row r="22" spans="2:29">
      <c r="B22" s="150"/>
      <c r="C22" s="151"/>
      <c r="D22" s="151"/>
      <c r="E22" s="151"/>
      <c r="F22" s="89"/>
      <c r="G22" s="89"/>
      <c r="H22" s="89"/>
      <c r="I22" s="146"/>
      <c r="K22" s="150"/>
      <c r="L22" s="151"/>
      <c r="M22" s="151"/>
      <c r="N22" s="151"/>
      <c r="O22" s="89"/>
      <c r="P22" s="89"/>
      <c r="Q22" s="89"/>
      <c r="R22" s="146"/>
      <c r="T22" s="150">
        <v>160</v>
      </c>
      <c r="U22" s="151">
        <v>161</v>
      </c>
      <c r="V22" s="151">
        <v>162</v>
      </c>
      <c r="W22" s="151">
        <v>163</v>
      </c>
      <c r="X22" s="89">
        <v>164</v>
      </c>
      <c r="Y22" s="89">
        <v>165</v>
      </c>
      <c r="Z22" s="89">
        <v>166</v>
      </c>
      <c r="AA22" s="146">
        <v>167</v>
      </c>
      <c r="AC22" s="162">
        <v>1.2711909394909699E+31</v>
      </c>
    </row>
    <row r="23" spans="2:29">
      <c r="B23" s="145"/>
      <c r="C23" s="89"/>
      <c r="D23" s="89"/>
      <c r="E23" s="89"/>
      <c r="F23" s="89"/>
      <c r="G23" s="89"/>
      <c r="H23" s="89"/>
      <c r="I23" s="146"/>
      <c r="K23" s="145"/>
      <c r="L23" s="89"/>
      <c r="M23" s="89"/>
      <c r="N23" s="89"/>
      <c r="O23" s="89"/>
      <c r="P23" s="89"/>
      <c r="Q23" s="89"/>
      <c r="R23" s="146"/>
      <c r="T23" s="145">
        <v>168</v>
      </c>
      <c r="U23" s="89">
        <v>169</v>
      </c>
      <c r="V23" s="89">
        <v>170</v>
      </c>
      <c r="W23" s="89">
        <v>171</v>
      </c>
      <c r="X23" s="89">
        <v>172</v>
      </c>
      <c r="Y23" s="89">
        <v>173</v>
      </c>
      <c r="Z23" s="89">
        <v>174</v>
      </c>
      <c r="AA23" s="146">
        <v>175</v>
      </c>
      <c r="AC23" s="162">
        <v>2.0362358757336301E-19</v>
      </c>
    </row>
    <row r="24" spans="2:29">
      <c r="B24" s="150"/>
      <c r="C24" s="151"/>
      <c r="D24" s="151"/>
      <c r="E24" s="151"/>
      <c r="F24" s="89"/>
      <c r="G24" s="89"/>
      <c r="H24" s="89"/>
      <c r="I24" s="146"/>
      <c r="K24" s="150"/>
      <c r="L24" s="151"/>
      <c r="M24" s="151"/>
      <c r="N24" s="151"/>
      <c r="O24" s="89"/>
      <c r="P24" s="89"/>
      <c r="Q24" s="89"/>
      <c r="R24" s="146"/>
      <c r="T24" s="150">
        <v>176</v>
      </c>
      <c r="U24" s="151">
        <v>177</v>
      </c>
      <c r="V24" s="151">
        <v>178</v>
      </c>
      <c r="W24" s="151">
        <v>179</v>
      </c>
      <c r="X24" s="89">
        <v>180</v>
      </c>
      <c r="Y24" s="89">
        <v>181</v>
      </c>
      <c r="Z24" s="89">
        <v>182</v>
      </c>
      <c r="AA24" s="146">
        <v>183</v>
      </c>
      <c r="AC24" s="162">
        <v>1.9348877683790799E-19</v>
      </c>
    </row>
    <row r="25" spans="2:29">
      <c r="B25" s="145"/>
      <c r="C25" s="89"/>
      <c r="D25" s="89"/>
      <c r="E25" s="89"/>
      <c r="F25" s="89"/>
      <c r="G25" s="89"/>
      <c r="H25" s="89"/>
      <c r="I25" s="146"/>
      <c r="K25" s="145"/>
      <c r="L25" s="89"/>
      <c r="M25" s="89"/>
      <c r="N25" s="89"/>
      <c r="O25" s="89"/>
      <c r="P25" s="89"/>
      <c r="Q25" s="89"/>
      <c r="R25" s="146"/>
      <c r="T25" s="145">
        <v>184</v>
      </c>
      <c r="U25" s="89">
        <v>185</v>
      </c>
      <c r="V25" s="89">
        <v>186</v>
      </c>
      <c r="W25" s="89">
        <v>187</v>
      </c>
      <c r="X25" s="89">
        <v>188</v>
      </c>
      <c r="Y25" s="89">
        <v>189</v>
      </c>
      <c r="Z25" s="89">
        <v>190</v>
      </c>
      <c r="AA25" s="146">
        <v>191</v>
      </c>
      <c r="AC25" s="162">
        <v>2.8175145550653001E+20</v>
      </c>
    </row>
    <row r="26" spans="2:29">
      <c r="B26" s="150"/>
      <c r="C26" s="151"/>
      <c r="D26" s="151"/>
      <c r="E26" s="151"/>
      <c r="F26" s="89"/>
      <c r="G26" s="89"/>
      <c r="H26" s="89"/>
      <c r="I26" s="146"/>
      <c r="K26" s="150"/>
      <c r="L26" s="151"/>
      <c r="M26" s="151"/>
      <c r="N26" s="151"/>
      <c r="O26" s="89"/>
      <c r="P26" s="89"/>
      <c r="Q26" s="89"/>
      <c r="R26" s="146"/>
      <c r="T26" s="150">
        <v>192</v>
      </c>
      <c r="U26" s="151">
        <v>193</v>
      </c>
      <c r="V26" s="151">
        <v>194</v>
      </c>
      <c r="W26" s="151">
        <v>195</v>
      </c>
      <c r="X26" s="89">
        <v>196</v>
      </c>
      <c r="Y26" s="89">
        <v>197</v>
      </c>
      <c r="Z26" s="89">
        <v>198</v>
      </c>
      <c r="AA26" s="146">
        <v>199</v>
      </c>
      <c r="AC26" s="162">
        <v>1.12864795058908E+27</v>
      </c>
    </row>
    <row r="27" spans="2:29">
      <c r="B27" s="145"/>
      <c r="C27" s="89"/>
      <c r="D27" s="89"/>
      <c r="E27" s="89"/>
      <c r="F27" s="89"/>
      <c r="G27" s="89"/>
      <c r="H27" s="89"/>
      <c r="I27" s="146"/>
      <c r="K27" s="145"/>
      <c r="L27" s="89"/>
      <c r="M27" s="89"/>
      <c r="N27" s="89"/>
      <c r="O27" s="89"/>
      <c r="P27" s="89"/>
      <c r="Q27" s="89"/>
      <c r="R27" s="146"/>
      <c r="T27" s="145">
        <v>200</v>
      </c>
      <c r="U27" s="89">
        <v>201</v>
      </c>
      <c r="V27" s="89">
        <v>202</v>
      </c>
      <c r="W27" s="89">
        <v>203</v>
      </c>
      <c r="X27" s="89">
        <v>204</v>
      </c>
      <c r="Y27" s="89">
        <v>205</v>
      </c>
      <c r="Z27" s="89">
        <v>206</v>
      </c>
      <c r="AA27" s="146">
        <v>207</v>
      </c>
      <c r="AC27" s="162">
        <v>1.6643221860785799E-41</v>
      </c>
    </row>
    <row r="28" spans="2:29">
      <c r="B28" s="150"/>
      <c r="C28" s="151"/>
      <c r="D28" s="151"/>
      <c r="E28" s="151"/>
      <c r="F28" s="89"/>
      <c r="G28" s="89"/>
      <c r="H28" s="89"/>
      <c r="I28" s="146"/>
      <c r="K28" s="150"/>
      <c r="L28" s="151"/>
      <c r="M28" s="151"/>
      <c r="N28" s="151"/>
      <c r="O28" s="89"/>
      <c r="P28" s="89"/>
      <c r="Q28" s="89"/>
      <c r="R28" s="146"/>
      <c r="T28" s="150">
        <v>208</v>
      </c>
      <c r="U28" s="151">
        <v>209</v>
      </c>
      <c r="V28" s="151">
        <v>210</v>
      </c>
      <c r="W28" s="151">
        <v>211</v>
      </c>
      <c r="X28" s="89">
        <v>212</v>
      </c>
      <c r="Y28" s="89">
        <v>213</v>
      </c>
      <c r="Z28" s="89">
        <v>214</v>
      </c>
      <c r="AA28" s="146">
        <v>215</v>
      </c>
      <c r="AC28" s="110">
        <v>0</v>
      </c>
    </row>
    <row r="29" spans="2:29">
      <c r="B29" s="145"/>
      <c r="C29" s="89"/>
      <c r="D29" s="89"/>
      <c r="E29" s="89"/>
      <c r="F29" s="89"/>
      <c r="G29" s="89"/>
      <c r="H29" s="89"/>
      <c r="I29" s="146"/>
      <c r="K29" s="145"/>
      <c r="L29" s="89"/>
      <c r="M29" s="89"/>
      <c r="N29" s="89"/>
      <c r="O29" s="89"/>
      <c r="P29" s="89"/>
      <c r="Q29" s="89"/>
      <c r="R29" s="146"/>
      <c r="T29" s="145">
        <v>216</v>
      </c>
      <c r="U29" s="89">
        <v>217</v>
      </c>
      <c r="V29" s="89">
        <v>218</v>
      </c>
      <c r="W29" s="89">
        <v>219</v>
      </c>
      <c r="X29" s="89">
        <v>220</v>
      </c>
      <c r="Y29" s="89">
        <v>221</v>
      </c>
      <c r="Z29" s="89">
        <v>222</v>
      </c>
      <c r="AA29" s="146">
        <v>223</v>
      </c>
      <c r="AC29" s="110">
        <v>0</v>
      </c>
    </row>
    <row r="30" spans="2:29">
      <c r="B30" s="150"/>
      <c r="C30" s="151"/>
      <c r="D30" s="151"/>
      <c r="E30" s="151"/>
      <c r="F30" s="89"/>
      <c r="G30" s="89"/>
      <c r="H30" s="89"/>
      <c r="I30" s="146"/>
      <c r="K30" s="150"/>
      <c r="L30" s="151"/>
      <c r="M30" s="151"/>
      <c r="N30" s="151"/>
      <c r="O30" s="89"/>
      <c r="P30" s="89"/>
      <c r="Q30" s="89"/>
      <c r="R30" s="146"/>
      <c r="T30" s="150">
        <v>224</v>
      </c>
      <c r="U30" s="151">
        <v>225</v>
      </c>
      <c r="V30" s="151">
        <v>226</v>
      </c>
      <c r="W30" s="151">
        <v>227</v>
      </c>
      <c r="X30" s="89">
        <v>228</v>
      </c>
      <c r="Y30" s="89">
        <v>229</v>
      </c>
      <c r="Z30" s="89">
        <v>230</v>
      </c>
      <c r="AA30" s="146">
        <v>231</v>
      </c>
      <c r="AC30" s="110">
        <v>0</v>
      </c>
    </row>
    <row r="31" spans="2:29">
      <c r="B31" s="145"/>
      <c r="C31" s="89"/>
      <c r="D31" s="89"/>
      <c r="E31" s="89"/>
      <c r="F31" s="89"/>
      <c r="G31" s="89"/>
      <c r="H31" s="89"/>
      <c r="I31" s="146"/>
      <c r="K31" s="145"/>
      <c r="L31" s="89"/>
      <c r="M31" s="89"/>
      <c r="N31" s="89"/>
      <c r="O31" s="89"/>
      <c r="P31" s="89"/>
      <c r="Q31" s="89"/>
      <c r="R31" s="146"/>
      <c r="T31" s="145">
        <v>232</v>
      </c>
      <c r="U31" s="89">
        <v>233</v>
      </c>
      <c r="V31" s="89">
        <v>234</v>
      </c>
      <c r="W31" s="89">
        <v>235</v>
      </c>
      <c r="X31" s="89">
        <v>236</v>
      </c>
      <c r="Y31" s="89">
        <v>237</v>
      </c>
      <c r="Z31" s="89">
        <v>238</v>
      </c>
      <c r="AA31" s="146">
        <v>239</v>
      </c>
      <c r="AC31" s="110">
        <v>0</v>
      </c>
    </row>
    <row r="32" spans="2:29">
      <c r="B32" s="150"/>
      <c r="C32" s="151"/>
      <c r="D32" s="151"/>
      <c r="E32" s="151"/>
      <c r="F32" s="89"/>
      <c r="G32" s="89"/>
      <c r="H32" s="89"/>
      <c r="I32" s="146"/>
      <c r="K32" s="150"/>
      <c r="L32" s="151"/>
      <c r="M32" s="151"/>
      <c r="N32" s="151"/>
      <c r="O32" s="89"/>
      <c r="P32" s="89"/>
      <c r="Q32" s="89"/>
      <c r="R32" s="146"/>
      <c r="T32" s="150">
        <v>240</v>
      </c>
      <c r="U32" s="151">
        <v>241</v>
      </c>
      <c r="V32" s="151">
        <v>242</v>
      </c>
      <c r="W32" s="151">
        <v>243</v>
      </c>
      <c r="X32" s="89">
        <v>244</v>
      </c>
      <c r="Y32" s="89">
        <v>245</v>
      </c>
      <c r="Z32" s="89">
        <v>246</v>
      </c>
      <c r="AA32" s="146">
        <v>247</v>
      </c>
      <c r="AC32" s="110">
        <v>0</v>
      </c>
    </row>
    <row r="33" spans="2:30">
      <c r="B33" s="145"/>
      <c r="C33" s="89"/>
      <c r="D33" s="89"/>
      <c r="E33" s="89"/>
      <c r="F33" s="89"/>
      <c r="G33" s="89"/>
      <c r="H33" s="89"/>
      <c r="I33" s="146"/>
      <c r="K33" s="145"/>
      <c r="L33" s="89"/>
      <c r="M33" s="89"/>
      <c r="N33" s="89"/>
      <c r="O33" s="89"/>
      <c r="P33" s="89"/>
      <c r="Q33" s="89"/>
      <c r="R33" s="146"/>
      <c r="T33" s="145">
        <v>248</v>
      </c>
      <c r="U33" s="89">
        <v>249</v>
      </c>
      <c r="V33" s="89">
        <v>250</v>
      </c>
      <c r="W33" s="89">
        <v>251</v>
      </c>
      <c r="X33" s="89">
        <v>252</v>
      </c>
      <c r="Y33" s="89">
        <v>253</v>
      </c>
      <c r="Z33" s="89">
        <v>254</v>
      </c>
      <c r="AA33" s="146">
        <v>255</v>
      </c>
      <c r="AC33" s="110">
        <v>0</v>
      </c>
    </row>
    <row r="34" spans="2:30">
      <c r="B34" s="150"/>
      <c r="C34" s="151"/>
      <c r="D34" s="151"/>
      <c r="E34" s="151"/>
      <c r="F34" s="89"/>
      <c r="G34" s="89"/>
      <c r="H34" s="89"/>
      <c r="I34" s="146"/>
      <c r="K34" s="150"/>
      <c r="L34" s="151"/>
      <c r="M34" s="151"/>
      <c r="N34" s="151"/>
      <c r="O34" s="89"/>
      <c r="P34" s="89"/>
      <c r="Q34" s="89"/>
      <c r="R34" s="146"/>
      <c r="T34" s="150">
        <v>256</v>
      </c>
      <c r="U34" s="151">
        <v>257</v>
      </c>
      <c r="V34" s="151">
        <v>258</v>
      </c>
      <c r="W34" s="151">
        <v>259</v>
      </c>
      <c r="X34" s="89">
        <v>260</v>
      </c>
      <c r="Y34" s="89">
        <v>261</v>
      </c>
      <c r="Z34" s="89">
        <v>262</v>
      </c>
      <c r="AA34" s="146">
        <v>263</v>
      </c>
      <c r="AC34" s="110">
        <v>0</v>
      </c>
    </row>
    <row r="35" spans="2:30">
      <c r="B35" s="145"/>
      <c r="C35" s="89"/>
      <c r="D35" s="89"/>
      <c r="E35" s="89"/>
      <c r="F35" s="89"/>
      <c r="G35" s="89"/>
      <c r="H35" s="89"/>
      <c r="I35" s="146"/>
      <c r="K35" s="145"/>
      <c r="L35" s="89"/>
      <c r="M35" s="89"/>
      <c r="N35" s="89"/>
      <c r="O35" s="89"/>
      <c r="P35" s="89"/>
      <c r="Q35" s="89"/>
      <c r="R35" s="146"/>
      <c r="T35" s="145">
        <v>264</v>
      </c>
      <c r="U35" s="89">
        <v>265</v>
      </c>
      <c r="V35" s="89">
        <v>266</v>
      </c>
      <c r="W35" s="89">
        <v>267</v>
      </c>
      <c r="X35" s="89">
        <v>268</v>
      </c>
      <c r="Y35" s="89">
        <v>269</v>
      </c>
      <c r="Z35" s="89">
        <v>270</v>
      </c>
      <c r="AA35" s="146">
        <v>271</v>
      </c>
      <c r="AC35" s="110">
        <v>0</v>
      </c>
    </row>
    <row r="36" spans="2:30">
      <c r="B36" s="150"/>
      <c r="C36" s="151"/>
      <c r="D36" s="151"/>
      <c r="E36" s="151"/>
      <c r="F36" s="89"/>
      <c r="G36" s="89"/>
      <c r="H36" s="89"/>
      <c r="I36" s="146"/>
      <c r="K36" s="150"/>
      <c r="L36" s="151"/>
      <c r="M36" s="151"/>
      <c r="N36" s="151"/>
      <c r="O36" s="89"/>
      <c r="P36" s="89"/>
      <c r="Q36" s="89"/>
      <c r="R36" s="146"/>
      <c r="T36" s="150">
        <v>272</v>
      </c>
      <c r="U36" s="151">
        <v>273</v>
      </c>
      <c r="V36" s="151">
        <v>274</v>
      </c>
      <c r="W36" s="151">
        <v>275</v>
      </c>
      <c r="X36" s="89">
        <v>276</v>
      </c>
      <c r="Y36" s="89">
        <v>277</v>
      </c>
      <c r="Z36" s="89">
        <v>278</v>
      </c>
      <c r="AA36" s="146">
        <v>279</v>
      </c>
      <c r="AC36" s="110">
        <v>0</v>
      </c>
    </row>
    <row r="37" spans="2:30">
      <c r="B37" s="145"/>
      <c r="C37" s="89"/>
      <c r="D37" s="89"/>
      <c r="E37" s="89"/>
      <c r="F37" s="89"/>
      <c r="G37" s="89"/>
      <c r="H37" s="89"/>
      <c r="I37" s="146"/>
      <c r="K37" s="145"/>
      <c r="L37" s="89"/>
      <c r="M37" s="89"/>
      <c r="N37" s="89"/>
      <c r="O37" s="89"/>
      <c r="P37" s="89"/>
      <c r="Q37" s="89"/>
      <c r="R37" s="146"/>
      <c r="T37" s="145">
        <v>280</v>
      </c>
      <c r="U37" s="89">
        <v>281</v>
      </c>
      <c r="V37" s="89">
        <v>282</v>
      </c>
      <c r="W37" s="89">
        <v>283</v>
      </c>
      <c r="X37" s="89">
        <v>284</v>
      </c>
      <c r="Y37" s="89">
        <v>285</v>
      </c>
      <c r="Z37" s="89">
        <v>286</v>
      </c>
      <c r="AA37" s="146">
        <v>287</v>
      </c>
      <c r="AC37" s="110">
        <v>0</v>
      </c>
      <c r="AD37" s="103">
        <f>232*4</f>
        <v>928</v>
      </c>
    </row>
    <row r="38" spans="2:30">
      <c r="B38" s="150"/>
      <c r="C38" s="151"/>
      <c r="D38" s="151"/>
      <c r="E38" s="151"/>
      <c r="F38" s="89"/>
      <c r="G38" s="89"/>
      <c r="H38" s="89"/>
      <c r="I38" s="146"/>
      <c r="K38" s="150"/>
      <c r="L38" s="151"/>
      <c r="M38" s="151"/>
      <c r="N38" s="151"/>
      <c r="O38" s="89"/>
      <c r="P38" s="89"/>
      <c r="Q38" s="89"/>
      <c r="R38" s="146"/>
      <c r="T38" s="150">
        <v>288</v>
      </c>
      <c r="U38" s="151">
        <v>289</v>
      </c>
      <c r="V38" s="151">
        <v>290</v>
      </c>
      <c r="W38" s="151">
        <v>291</v>
      </c>
      <c r="X38" s="89">
        <v>292</v>
      </c>
      <c r="Y38" s="89">
        <v>293</v>
      </c>
      <c r="Z38" s="89">
        <v>294</v>
      </c>
      <c r="AA38" s="146">
        <v>295</v>
      </c>
      <c r="AC38" s="110">
        <v>0</v>
      </c>
    </row>
    <row r="39" spans="2:30">
      <c r="B39" s="145"/>
      <c r="C39" s="89"/>
      <c r="D39" s="89"/>
      <c r="E39" s="89"/>
      <c r="F39" s="89"/>
      <c r="G39" s="89"/>
      <c r="H39" s="89"/>
      <c r="I39" s="146"/>
      <c r="K39" s="145"/>
      <c r="L39" s="89"/>
      <c r="M39" s="89"/>
      <c r="N39" s="89"/>
      <c r="O39" s="89"/>
      <c r="P39" s="89"/>
      <c r="Q39" s="89"/>
      <c r="R39" s="146"/>
      <c r="T39" s="145">
        <v>296</v>
      </c>
      <c r="U39" s="89">
        <v>297</v>
      </c>
      <c r="V39" s="89">
        <v>298</v>
      </c>
      <c r="W39" s="89">
        <v>299</v>
      </c>
      <c r="X39" s="89">
        <v>300</v>
      </c>
      <c r="Y39" s="89">
        <v>301</v>
      </c>
      <c r="Z39" s="89">
        <v>302</v>
      </c>
      <c r="AA39" s="146">
        <v>303</v>
      </c>
      <c r="AC39" s="110">
        <v>0</v>
      </c>
    </row>
    <row r="40" spans="2:30">
      <c r="B40" s="150"/>
      <c r="C40" s="151"/>
      <c r="D40" s="151"/>
      <c r="E40" s="151"/>
      <c r="F40" s="89"/>
      <c r="G40" s="89"/>
      <c r="H40" s="89"/>
      <c r="I40" s="146"/>
      <c r="K40" s="150"/>
      <c r="L40" s="151"/>
      <c r="M40" s="151"/>
      <c r="N40" s="151"/>
      <c r="O40" s="89"/>
      <c r="P40" s="89"/>
      <c r="Q40" s="89"/>
      <c r="R40" s="146"/>
      <c r="T40" s="150">
        <v>304</v>
      </c>
      <c r="U40" s="151">
        <v>305</v>
      </c>
      <c r="V40" s="151">
        <v>306</v>
      </c>
      <c r="W40" s="151">
        <v>307</v>
      </c>
      <c r="X40" s="89">
        <v>308</v>
      </c>
      <c r="Y40" s="89">
        <v>309</v>
      </c>
      <c r="Z40" s="89">
        <v>310</v>
      </c>
      <c r="AA40" s="146">
        <v>311</v>
      </c>
      <c r="AC40" s="110">
        <v>0</v>
      </c>
    </row>
    <row r="41" spans="2:30">
      <c r="B41" s="145"/>
      <c r="C41" s="89"/>
      <c r="D41" s="89"/>
      <c r="E41" s="89"/>
      <c r="F41" s="89"/>
      <c r="G41" s="89"/>
      <c r="H41" s="89"/>
      <c r="I41" s="146"/>
      <c r="K41" s="145"/>
      <c r="L41" s="89"/>
      <c r="M41" s="89"/>
      <c r="N41" s="89"/>
      <c r="O41" s="89"/>
      <c r="P41" s="89"/>
      <c r="Q41" s="89"/>
      <c r="R41" s="146"/>
      <c r="T41" s="145">
        <v>312</v>
      </c>
      <c r="U41" s="89">
        <v>313</v>
      </c>
      <c r="V41" s="89">
        <v>314</v>
      </c>
      <c r="W41" s="89">
        <v>315</v>
      </c>
      <c r="X41" s="89">
        <v>316</v>
      </c>
      <c r="Y41" s="89">
        <v>317</v>
      </c>
      <c r="Z41" s="89">
        <v>318</v>
      </c>
      <c r="AA41" s="146">
        <v>319</v>
      </c>
      <c r="AC41" s="110">
        <v>0</v>
      </c>
    </row>
    <row r="42" spans="2:30">
      <c r="B42" s="150"/>
      <c r="C42" s="151"/>
      <c r="D42" s="151"/>
      <c r="E42" s="151"/>
      <c r="F42" s="89"/>
      <c r="G42" s="89"/>
      <c r="H42" s="89"/>
      <c r="I42" s="146"/>
      <c r="K42" s="150"/>
      <c r="L42" s="151"/>
      <c r="M42" s="151"/>
      <c r="N42" s="151"/>
      <c r="O42" s="89"/>
      <c r="P42" s="89"/>
      <c r="Q42" s="89"/>
      <c r="R42" s="146"/>
      <c r="T42" s="150">
        <v>320</v>
      </c>
      <c r="U42" s="151">
        <v>321</v>
      </c>
      <c r="V42" s="151">
        <v>322</v>
      </c>
      <c r="W42" s="151">
        <v>323</v>
      </c>
      <c r="X42" s="89">
        <v>324</v>
      </c>
      <c r="Y42" s="89">
        <v>325</v>
      </c>
      <c r="Z42" s="89">
        <v>326</v>
      </c>
      <c r="AA42" s="146">
        <v>327</v>
      </c>
      <c r="AC42" s="110">
        <v>0</v>
      </c>
    </row>
    <row r="43" spans="2:30">
      <c r="B43" s="178" t="s">
        <v>246</v>
      </c>
      <c r="C43" s="175"/>
      <c r="D43" s="175"/>
      <c r="E43" s="175"/>
      <c r="F43" s="175"/>
      <c r="G43" s="175"/>
      <c r="H43" s="175"/>
      <c r="I43" s="176"/>
      <c r="K43" s="173" t="s">
        <v>247</v>
      </c>
      <c r="L43" s="174"/>
      <c r="M43" s="174"/>
      <c r="N43" s="174"/>
      <c r="O43" s="174"/>
      <c r="P43" s="174"/>
      <c r="Q43" s="174"/>
      <c r="R43" s="177"/>
      <c r="T43" s="145">
        <v>328</v>
      </c>
      <c r="U43" s="89">
        <v>329</v>
      </c>
      <c r="V43" s="89">
        <v>330</v>
      </c>
      <c r="W43" s="89">
        <v>331</v>
      </c>
      <c r="X43" s="89">
        <v>332</v>
      </c>
      <c r="Y43" s="89">
        <v>333</v>
      </c>
      <c r="Z43" s="89">
        <v>334</v>
      </c>
      <c r="AA43" s="146">
        <v>335</v>
      </c>
      <c r="AC43" s="110">
        <v>0</v>
      </c>
    </row>
    <row r="44" spans="2:30">
      <c r="B44" s="178"/>
      <c r="C44" s="175"/>
      <c r="D44" s="175"/>
      <c r="E44" s="175"/>
      <c r="F44" s="175"/>
      <c r="G44" s="175"/>
      <c r="H44" s="175"/>
      <c r="I44" s="176"/>
      <c r="K44" s="173"/>
      <c r="L44" s="174"/>
      <c r="M44" s="174"/>
      <c r="N44" s="174"/>
      <c r="O44" s="174"/>
      <c r="P44" s="174"/>
      <c r="Q44" s="174"/>
      <c r="R44" s="177"/>
      <c r="T44" s="150">
        <v>336</v>
      </c>
      <c r="U44" s="151">
        <v>337</v>
      </c>
      <c r="V44" s="151">
        <v>338</v>
      </c>
      <c r="W44" s="151">
        <v>339</v>
      </c>
      <c r="X44" s="89">
        <v>340</v>
      </c>
      <c r="Y44" s="89">
        <v>341</v>
      </c>
      <c r="Z44" s="89">
        <v>342</v>
      </c>
      <c r="AA44" s="146">
        <v>343</v>
      </c>
      <c r="AC44" s="110">
        <v>0</v>
      </c>
    </row>
    <row r="45" spans="2:30">
      <c r="B45" s="178"/>
      <c r="C45" s="175"/>
      <c r="D45" s="175"/>
      <c r="E45" s="175"/>
      <c r="F45" s="175"/>
      <c r="G45" s="175"/>
      <c r="H45" s="175"/>
      <c r="I45" s="176"/>
      <c r="K45" s="173"/>
      <c r="L45" s="174"/>
      <c r="M45" s="174"/>
      <c r="N45" s="174"/>
      <c r="O45" s="174"/>
      <c r="P45" s="174"/>
      <c r="Q45" s="174"/>
      <c r="R45" s="177"/>
      <c r="T45" s="145">
        <v>344</v>
      </c>
      <c r="U45" s="89">
        <v>345</v>
      </c>
      <c r="V45" s="89">
        <v>346</v>
      </c>
      <c r="W45" s="89">
        <v>347</v>
      </c>
      <c r="X45" s="89">
        <v>348</v>
      </c>
      <c r="Y45" s="89">
        <v>349</v>
      </c>
      <c r="Z45" s="89">
        <v>350</v>
      </c>
      <c r="AA45" s="146">
        <v>351</v>
      </c>
      <c r="AC45" s="110">
        <v>0</v>
      </c>
    </row>
    <row r="46" spans="2:30">
      <c r="B46" s="150"/>
      <c r="C46" s="151"/>
      <c r="D46" s="151"/>
      <c r="E46" s="151"/>
      <c r="F46" s="89"/>
      <c r="G46" s="89"/>
      <c r="H46" s="89"/>
      <c r="I46" s="146"/>
      <c r="K46" s="150"/>
      <c r="L46" s="151"/>
      <c r="M46" s="151"/>
      <c r="N46" s="151"/>
      <c r="O46" s="89"/>
      <c r="P46" s="89"/>
      <c r="Q46" s="89"/>
      <c r="R46" s="146"/>
      <c r="T46" s="150">
        <v>352</v>
      </c>
      <c r="U46" s="151">
        <v>353</v>
      </c>
      <c r="V46" s="151">
        <v>354</v>
      </c>
      <c r="W46" s="151">
        <v>355</v>
      </c>
      <c r="X46" s="89">
        <v>356</v>
      </c>
      <c r="Y46" s="89">
        <v>357</v>
      </c>
      <c r="Z46" s="89">
        <v>358</v>
      </c>
      <c r="AA46" s="146">
        <v>359</v>
      </c>
      <c r="AC46" s="110">
        <v>0</v>
      </c>
    </row>
    <row r="47" spans="2:30">
      <c r="B47" s="145"/>
      <c r="C47" s="89"/>
      <c r="D47" s="89"/>
      <c r="E47" s="89"/>
      <c r="F47" s="89"/>
      <c r="G47" s="89"/>
      <c r="H47" s="89"/>
      <c r="I47" s="146"/>
      <c r="K47" s="145"/>
      <c r="L47" s="89"/>
      <c r="M47" s="89"/>
      <c r="N47" s="89"/>
      <c r="O47" s="89"/>
      <c r="P47" s="89"/>
      <c r="Q47" s="89"/>
      <c r="R47" s="146"/>
      <c r="T47" s="145">
        <v>360</v>
      </c>
      <c r="U47" s="89">
        <v>361</v>
      </c>
      <c r="V47" s="89">
        <v>362</v>
      </c>
      <c r="W47" s="89">
        <v>363</v>
      </c>
      <c r="X47" s="89">
        <v>364</v>
      </c>
      <c r="Y47" s="89">
        <v>365</v>
      </c>
      <c r="Z47" s="89">
        <v>366</v>
      </c>
      <c r="AA47" s="146">
        <v>367</v>
      </c>
      <c r="AC47" s="110">
        <v>0</v>
      </c>
    </row>
    <row r="48" spans="2:30">
      <c r="B48" s="150"/>
      <c r="C48" s="151"/>
      <c r="D48" s="151"/>
      <c r="E48" s="151"/>
      <c r="F48" s="89"/>
      <c r="G48" s="89"/>
      <c r="H48" s="89"/>
      <c r="I48" s="146"/>
      <c r="K48" s="150"/>
      <c r="L48" s="151"/>
      <c r="M48" s="151"/>
      <c r="N48" s="151"/>
      <c r="O48" s="89"/>
      <c r="P48" s="89"/>
      <c r="Q48" s="89"/>
      <c r="R48" s="146"/>
      <c r="T48" s="150">
        <v>368</v>
      </c>
      <c r="U48" s="151">
        <v>369</v>
      </c>
      <c r="V48" s="151">
        <v>370</v>
      </c>
      <c r="W48" s="151">
        <v>371</v>
      </c>
      <c r="X48" s="89">
        <v>372</v>
      </c>
      <c r="Y48" s="89">
        <v>373</v>
      </c>
      <c r="Z48" s="89">
        <v>374</v>
      </c>
      <c r="AA48" s="146">
        <v>375</v>
      </c>
      <c r="AC48" s="110">
        <v>0</v>
      </c>
    </row>
    <row r="49" spans="2:29">
      <c r="B49" s="145"/>
      <c r="C49" s="89"/>
      <c r="D49" s="89"/>
      <c r="E49" s="89"/>
      <c r="F49" s="89"/>
      <c r="G49" s="89"/>
      <c r="H49" s="89"/>
      <c r="I49" s="146"/>
      <c r="K49" s="145"/>
      <c r="L49" s="89"/>
      <c r="M49" s="89"/>
      <c r="N49" s="89"/>
      <c r="O49" s="89"/>
      <c r="P49" s="89"/>
      <c r="Q49" s="89"/>
      <c r="R49" s="146"/>
      <c r="T49" s="145">
        <v>376</v>
      </c>
      <c r="U49" s="89">
        <v>377</v>
      </c>
      <c r="V49" s="89">
        <v>378</v>
      </c>
      <c r="W49" s="89">
        <v>379</v>
      </c>
      <c r="X49" s="89">
        <v>380</v>
      </c>
      <c r="Y49" s="89">
        <v>381</v>
      </c>
      <c r="Z49" s="89">
        <v>382</v>
      </c>
      <c r="AA49" s="146">
        <v>383</v>
      </c>
      <c r="AC49" s="110">
        <v>0</v>
      </c>
    </row>
    <row r="50" spans="2:29">
      <c r="B50" s="150"/>
      <c r="C50" s="151"/>
      <c r="D50" s="151"/>
      <c r="E50" s="151"/>
      <c r="F50" s="89"/>
      <c r="G50" s="89"/>
      <c r="H50" s="89"/>
      <c r="I50" s="146"/>
      <c r="K50" s="150"/>
      <c r="L50" s="151"/>
      <c r="M50" s="151"/>
      <c r="N50" s="151"/>
      <c r="O50" s="89"/>
      <c r="P50" s="89"/>
      <c r="Q50" s="89"/>
      <c r="R50" s="146"/>
      <c r="T50" s="150">
        <v>384</v>
      </c>
      <c r="U50" s="151">
        <v>385</v>
      </c>
      <c r="V50" s="151">
        <v>386</v>
      </c>
      <c r="W50" s="151">
        <v>387</v>
      </c>
      <c r="X50" s="89">
        <v>388</v>
      </c>
      <c r="Y50" s="89">
        <v>389</v>
      </c>
      <c r="Z50" s="89">
        <v>390</v>
      </c>
      <c r="AA50" s="146">
        <v>391</v>
      </c>
      <c r="AC50" s="110">
        <v>0</v>
      </c>
    </row>
    <row r="51" spans="2:29">
      <c r="B51" s="178" t="s">
        <v>248</v>
      </c>
      <c r="C51" s="175"/>
      <c r="D51" s="175"/>
      <c r="E51" s="175"/>
      <c r="F51" s="175"/>
      <c r="G51" s="175"/>
      <c r="H51" s="175"/>
      <c r="I51" s="176"/>
      <c r="K51" s="173" t="s">
        <v>249</v>
      </c>
      <c r="L51" s="174"/>
      <c r="M51" s="174"/>
      <c r="N51" s="174"/>
      <c r="O51" s="174"/>
      <c r="P51" s="174"/>
      <c r="Q51" s="174"/>
      <c r="R51" s="177"/>
      <c r="T51" s="145">
        <v>392</v>
      </c>
      <c r="U51" s="89">
        <v>393</v>
      </c>
      <c r="V51" s="89">
        <v>394</v>
      </c>
      <c r="W51" s="89">
        <v>395</v>
      </c>
      <c r="X51" s="89">
        <v>396</v>
      </c>
      <c r="Y51" s="89">
        <v>397</v>
      </c>
      <c r="Z51" s="89">
        <v>398</v>
      </c>
      <c r="AA51" s="146">
        <v>399</v>
      </c>
      <c r="AC51" s="110">
        <v>0</v>
      </c>
    </row>
    <row r="52" spans="2:29">
      <c r="B52" s="178"/>
      <c r="C52" s="175"/>
      <c r="D52" s="175"/>
      <c r="E52" s="175"/>
      <c r="F52" s="175"/>
      <c r="G52" s="175"/>
      <c r="H52" s="175"/>
      <c r="I52" s="176"/>
      <c r="K52" s="173"/>
      <c r="L52" s="174"/>
      <c r="M52" s="174"/>
      <c r="N52" s="174"/>
      <c r="O52" s="174"/>
      <c r="P52" s="174"/>
      <c r="Q52" s="174"/>
      <c r="R52" s="177"/>
      <c r="T52" s="150">
        <v>400</v>
      </c>
      <c r="U52" s="151">
        <v>401</v>
      </c>
      <c r="V52" s="151">
        <v>402</v>
      </c>
      <c r="W52" s="151">
        <v>403</v>
      </c>
      <c r="X52" s="89">
        <v>404</v>
      </c>
      <c r="Y52" s="89">
        <v>405</v>
      </c>
      <c r="Z52" s="89">
        <v>406</v>
      </c>
      <c r="AA52" s="146">
        <v>407</v>
      </c>
      <c r="AC52" s="110">
        <v>0</v>
      </c>
    </row>
    <row r="53" spans="2:29">
      <c r="B53" s="178"/>
      <c r="C53" s="175"/>
      <c r="D53" s="175"/>
      <c r="E53" s="175"/>
      <c r="F53" s="175"/>
      <c r="G53" s="175"/>
      <c r="H53" s="175"/>
      <c r="I53" s="176"/>
      <c r="K53" s="173"/>
      <c r="L53" s="174"/>
      <c r="M53" s="174"/>
      <c r="N53" s="174"/>
      <c r="O53" s="174"/>
      <c r="P53" s="174"/>
      <c r="Q53" s="174"/>
      <c r="R53" s="177"/>
      <c r="T53" s="145">
        <v>408</v>
      </c>
      <c r="U53" s="89">
        <v>409</v>
      </c>
      <c r="V53" s="89">
        <v>410</v>
      </c>
      <c r="W53" s="89">
        <v>411</v>
      </c>
      <c r="X53" s="89">
        <v>412</v>
      </c>
      <c r="Y53" s="89">
        <v>413</v>
      </c>
      <c r="Z53" s="89">
        <v>414</v>
      </c>
      <c r="AA53" s="146">
        <v>415</v>
      </c>
      <c r="AC53" s="110">
        <v>0</v>
      </c>
    </row>
    <row r="54" spans="2:29">
      <c r="B54" s="150"/>
      <c r="C54" s="151"/>
      <c r="D54" s="151"/>
      <c r="E54" s="151"/>
      <c r="F54" s="89"/>
      <c r="G54" s="89"/>
      <c r="H54" s="89"/>
      <c r="I54" s="146"/>
      <c r="K54" s="150"/>
      <c r="L54" s="151"/>
      <c r="M54" s="151"/>
      <c r="N54" s="151"/>
      <c r="O54" s="89"/>
      <c r="P54" s="89"/>
      <c r="Q54" s="89"/>
      <c r="R54" s="146"/>
      <c r="T54" s="150">
        <v>416</v>
      </c>
      <c r="U54" s="151">
        <v>417</v>
      </c>
      <c r="V54" s="151">
        <v>418</v>
      </c>
      <c r="W54" s="151">
        <v>419</v>
      </c>
      <c r="X54" s="89">
        <v>420</v>
      </c>
      <c r="Y54" s="89">
        <v>421</v>
      </c>
      <c r="Z54" s="89">
        <v>422</v>
      </c>
      <c r="AA54" s="146">
        <v>423</v>
      </c>
      <c r="AC54" s="110">
        <v>0</v>
      </c>
    </row>
    <row r="55" spans="2:29">
      <c r="B55" s="145"/>
      <c r="C55" s="89"/>
      <c r="D55" s="89"/>
      <c r="E55" s="89"/>
      <c r="F55" s="89"/>
      <c r="G55" s="89"/>
      <c r="H55" s="89"/>
      <c r="I55" s="146"/>
      <c r="K55" s="145"/>
      <c r="L55" s="89"/>
      <c r="M55" s="89"/>
      <c r="N55" s="89"/>
      <c r="O55" s="89"/>
      <c r="P55" s="89"/>
      <c r="Q55" s="89"/>
      <c r="R55" s="146"/>
      <c r="T55" s="145">
        <v>424</v>
      </c>
      <c r="U55" s="89">
        <v>425</v>
      </c>
      <c r="V55" s="89">
        <v>426</v>
      </c>
      <c r="W55" s="89">
        <v>427</v>
      </c>
      <c r="X55" s="89">
        <v>428</v>
      </c>
      <c r="Y55" s="89">
        <v>429</v>
      </c>
      <c r="Z55" s="89">
        <v>430</v>
      </c>
      <c r="AA55" s="146">
        <v>431</v>
      </c>
      <c r="AC55" s="110">
        <v>0</v>
      </c>
    </row>
    <row r="56" spans="2:29">
      <c r="B56" s="150"/>
      <c r="C56" s="151"/>
      <c r="D56" s="151"/>
      <c r="E56" s="151"/>
      <c r="F56" s="89"/>
      <c r="G56" s="89"/>
      <c r="H56" s="89"/>
      <c r="I56" s="146"/>
      <c r="K56" s="150"/>
      <c r="L56" s="151"/>
      <c r="M56" s="151"/>
      <c r="N56" s="151"/>
      <c r="O56" s="89"/>
      <c r="P56" s="89"/>
      <c r="Q56" s="89"/>
      <c r="R56" s="146"/>
      <c r="T56" s="150">
        <v>432</v>
      </c>
      <c r="U56" s="151">
        <v>433</v>
      </c>
      <c r="V56" s="151">
        <v>434</v>
      </c>
      <c r="W56" s="151">
        <v>435</v>
      </c>
      <c r="X56" s="89">
        <v>436</v>
      </c>
      <c r="Y56" s="89">
        <v>437</v>
      </c>
      <c r="Z56" s="89">
        <v>438</v>
      </c>
      <c r="AA56" s="146">
        <v>439</v>
      </c>
      <c r="AC56" s="110">
        <v>0</v>
      </c>
    </row>
    <row r="57" spans="2:29">
      <c r="B57" s="145"/>
      <c r="C57" s="89"/>
      <c r="D57" s="89"/>
      <c r="E57" s="89"/>
      <c r="F57" s="89"/>
      <c r="G57" s="89"/>
      <c r="H57" s="89"/>
      <c r="I57" s="146"/>
      <c r="K57" s="145"/>
      <c r="L57" s="89"/>
      <c r="M57" s="89"/>
      <c r="N57" s="89"/>
      <c r="O57" s="89"/>
      <c r="P57" s="89"/>
      <c r="Q57" s="89"/>
      <c r="R57" s="146"/>
      <c r="T57" s="145">
        <v>440</v>
      </c>
      <c r="U57" s="89">
        <v>441</v>
      </c>
      <c r="V57" s="89">
        <v>442</v>
      </c>
      <c r="W57" s="89">
        <v>443</v>
      </c>
      <c r="X57" s="89">
        <v>444</v>
      </c>
      <c r="Y57" s="89">
        <v>445</v>
      </c>
      <c r="Z57" s="89">
        <v>446</v>
      </c>
      <c r="AA57" s="146">
        <v>447</v>
      </c>
      <c r="AC57" s="110">
        <v>0</v>
      </c>
    </row>
    <row r="58" spans="2:29">
      <c r="B58" s="150"/>
      <c r="C58" s="151"/>
      <c r="D58" s="151"/>
      <c r="E58" s="151"/>
      <c r="F58" s="89"/>
      <c r="G58" s="89"/>
      <c r="H58" s="89"/>
      <c r="I58" s="146"/>
      <c r="K58" s="150"/>
      <c r="L58" s="151"/>
      <c r="M58" s="151"/>
      <c r="N58" s="151"/>
      <c r="O58" s="89"/>
      <c r="P58" s="89"/>
      <c r="Q58" s="89"/>
      <c r="R58" s="146"/>
      <c r="T58" s="150">
        <v>448</v>
      </c>
      <c r="U58" s="151">
        <v>449</v>
      </c>
      <c r="V58" s="151">
        <v>450</v>
      </c>
      <c r="W58" s="151">
        <v>451</v>
      </c>
      <c r="X58" s="89">
        <v>452</v>
      </c>
      <c r="Y58" s="89">
        <v>453</v>
      </c>
      <c r="Z58" s="89">
        <v>454</v>
      </c>
      <c r="AA58" s="146">
        <v>455</v>
      </c>
      <c r="AC58" s="110">
        <v>0</v>
      </c>
    </row>
    <row r="59" spans="2:29">
      <c r="B59" s="178" t="s">
        <v>192</v>
      </c>
      <c r="C59" s="175"/>
      <c r="D59" s="175"/>
      <c r="E59" s="175"/>
      <c r="F59" s="175"/>
      <c r="G59" s="175"/>
      <c r="H59" s="175"/>
      <c r="I59" s="176"/>
      <c r="K59" s="178" t="s">
        <v>250</v>
      </c>
      <c r="L59" s="175"/>
      <c r="M59" s="175"/>
      <c r="N59" s="175"/>
      <c r="O59" s="175"/>
      <c r="P59" s="175"/>
      <c r="Q59" s="175"/>
      <c r="R59" s="176"/>
      <c r="T59" s="145">
        <v>456</v>
      </c>
      <c r="U59" s="89">
        <v>457</v>
      </c>
      <c r="V59" s="89">
        <v>458</v>
      </c>
      <c r="W59" s="89">
        <v>459</v>
      </c>
      <c r="X59" s="89">
        <v>460</v>
      </c>
      <c r="Y59" s="89">
        <v>461</v>
      </c>
      <c r="Z59" s="89">
        <v>462</v>
      </c>
      <c r="AA59" s="146">
        <v>463</v>
      </c>
      <c r="AC59" s="110">
        <v>0</v>
      </c>
    </row>
    <row r="60" spans="2:29">
      <c r="B60" s="178"/>
      <c r="C60" s="175"/>
      <c r="D60" s="151"/>
      <c r="E60" s="151"/>
      <c r="F60" s="89"/>
      <c r="G60" s="89"/>
      <c r="H60" s="89"/>
      <c r="I60" s="146"/>
      <c r="K60" s="178"/>
      <c r="L60" s="175"/>
      <c r="M60" s="151"/>
      <c r="N60" s="151"/>
      <c r="O60" s="89"/>
      <c r="P60" s="89"/>
      <c r="Q60" s="89"/>
      <c r="R60" s="146"/>
      <c r="T60" s="150">
        <v>464</v>
      </c>
      <c r="U60" s="151">
        <v>465</v>
      </c>
      <c r="V60" s="151">
        <v>466</v>
      </c>
      <c r="W60" s="151">
        <v>467</v>
      </c>
      <c r="X60" s="89">
        <v>468</v>
      </c>
      <c r="Y60" s="89">
        <v>469</v>
      </c>
      <c r="Z60" s="89">
        <v>470</v>
      </c>
      <c r="AA60" s="146">
        <v>471</v>
      </c>
      <c r="AC60" s="110">
        <v>0</v>
      </c>
    </row>
    <row r="61" spans="2:29">
      <c r="B61" s="145"/>
      <c r="C61" s="89"/>
      <c r="D61" s="89"/>
      <c r="E61" s="89"/>
      <c r="F61" s="89"/>
      <c r="G61" s="89"/>
      <c r="H61" s="89"/>
      <c r="I61" s="146"/>
      <c r="K61" s="145"/>
      <c r="L61" s="89"/>
      <c r="M61" s="89"/>
      <c r="N61" s="89"/>
      <c r="O61" s="89"/>
      <c r="P61" s="89"/>
      <c r="Q61" s="89"/>
      <c r="R61" s="146"/>
      <c r="T61" s="145">
        <v>472</v>
      </c>
      <c r="U61" s="89">
        <v>473</v>
      </c>
      <c r="V61" s="89">
        <v>474</v>
      </c>
      <c r="W61" s="89">
        <v>475</v>
      </c>
      <c r="X61" s="89">
        <v>476</v>
      </c>
      <c r="Y61" s="89">
        <v>477</v>
      </c>
      <c r="Z61" s="89">
        <v>478</v>
      </c>
      <c r="AA61" s="146">
        <v>479</v>
      </c>
      <c r="AC61" s="110">
        <v>0</v>
      </c>
    </row>
    <row r="62" spans="2:29">
      <c r="B62" s="150"/>
      <c r="C62" s="151"/>
      <c r="D62" s="151"/>
      <c r="E62" s="151"/>
      <c r="F62" s="89"/>
      <c r="G62" s="89"/>
      <c r="H62" s="89"/>
      <c r="I62" s="146"/>
      <c r="K62" s="150"/>
      <c r="L62" s="151"/>
      <c r="M62" s="151"/>
      <c r="N62" s="151"/>
      <c r="O62" s="89"/>
      <c r="P62" s="89"/>
      <c r="Q62" s="89"/>
      <c r="R62" s="146"/>
      <c r="T62" s="150">
        <v>480</v>
      </c>
      <c r="U62" s="151">
        <v>481</v>
      </c>
      <c r="V62" s="151">
        <v>482</v>
      </c>
      <c r="W62" s="151">
        <v>483</v>
      </c>
      <c r="X62" s="89">
        <v>484</v>
      </c>
      <c r="Y62" s="89">
        <v>485</v>
      </c>
      <c r="Z62" s="89">
        <v>486</v>
      </c>
      <c r="AA62" s="146">
        <v>487</v>
      </c>
      <c r="AC62" s="110">
        <v>0</v>
      </c>
    </row>
    <row r="63" spans="2:29">
      <c r="B63" s="145"/>
      <c r="C63" s="89"/>
      <c r="D63" s="89"/>
      <c r="E63" s="89"/>
      <c r="F63" s="89"/>
      <c r="G63" s="89"/>
      <c r="H63" s="89"/>
      <c r="I63" s="146"/>
      <c r="K63" s="145"/>
      <c r="L63" s="89"/>
      <c r="M63" s="89"/>
      <c r="N63" s="89"/>
      <c r="O63" s="89"/>
      <c r="P63" s="89"/>
      <c r="Q63" s="89"/>
      <c r="R63" s="146"/>
      <c r="T63" s="145">
        <v>488</v>
      </c>
      <c r="U63" s="89">
        <v>489</v>
      </c>
      <c r="V63" s="89">
        <v>490</v>
      </c>
      <c r="W63" s="89">
        <v>491</v>
      </c>
      <c r="X63" s="89">
        <v>492</v>
      </c>
      <c r="Y63" s="89">
        <v>493</v>
      </c>
      <c r="Z63" s="89">
        <v>494</v>
      </c>
      <c r="AA63" s="146">
        <v>495</v>
      </c>
      <c r="AC63" s="110">
        <v>0</v>
      </c>
    </row>
    <row r="64" spans="2:29">
      <c r="B64" s="150"/>
      <c r="C64" s="151"/>
      <c r="D64" s="151"/>
      <c r="E64" s="151"/>
      <c r="F64" s="89"/>
      <c r="G64" s="89"/>
      <c r="H64" s="89"/>
      <c r="I64" s="146"/>
      <c r="K64" s="150"/>
      <c r="L64" s="151"/>
      <c r="M64" s="151"/>
      <c r="N64" s="151"/>
      <c r="O64" s="89"/>
      <c r="P64" s="89"/>
      <c r="Q64" s="89"/>
      <c r="R64" s="146"/>
      <c r="T64" s="150">
        <v>496</v>
      </c>
      <c r="U64" s="151">
        <v>497</v>
      </c>
      <c r="V64" s="151">
        <v>498</v>
      </c>
      <c r="W64" s="151">
        <v>499</v>
      </c>
      <c r="X64" s="89">
        <v>500</v>
      </c>
      <c r="Y64" s="89">
        <v>501</v>
      </c>
      <c r="Z64" s="89">
        <v>502</v>
      </c>
      <c r="AA64" s="146">
        <v>503</v>
      </c>
      <c r="AC64" s="110">
        <v>0</v>
      </c>
    </row>
    <row r="65" spans="2:29">
      <c r="B65" s="145"/>
      <c r="C65" s="89"/>
      <c r="D65" s="89"/>
      <c r="E65" s="89"/>
      <c r="F65" s="89"/>
      <c r="G65" s="89"/>
      <c r="H65" s="89"/>
      <c r="I65" s="146"/>
      <c r="K65" s="145"/>
      <c r="L65" s="89"/>
      <c r="M65" s="89"/>
      <c r="N65" s="89"/>
      <c r="O65" s="89"/>
      <c r="P65" s="89"/>
      <c r="Q65" s="89"/>
      <c r="R65" s="146"/>
      <c r="T65" s="145">
        <v>504</v>
      </c>
      <c r="U65" s="89">
        <v>505</v>
      </c>
      <c r="V65" s="89">
        <v>506</v>
      </c>
      <c r="W65" s="89">
        <v>507</v>
      </c>
      <c r="X65" s="89">
        <v>508</v>
      </c>
      <c r="Y65" s="89">
        <v>509</v>
      </c>
      <c r="Z65" s="89">
        <v>510</v>
      </c>
      <c r="AA65" s="146">
        <v>511</v>
      </c>
      <c r="AC65" s="110">
        <v>0</v>
      </c>
    </row>
    <row r="66" spans="2:29">
      <c r="B66" s="150"/>
      <c r="C66" s="151"/>
      <c r="D66" s="151"/>
      <c r="E66" s="151"/>
      <c r="F66" s="89"/>
      <c r="G66" s="89"/>
      <c r="H66" s="89"/>
      <c r="I66" s="146"/>
      <c r="K66" s="150"/>
      <c r="L66" s="151"/>
      <c r="M66" s="151"/>
      <c r="N66" s="151"/>
      <c r="O66" s="89"/>
      <c r="P66" s="89"/>
      <c r="Q66" s="89"/>
      <c r="R66" s="146"/>
      <c r="T66" s="150">
        <v>512</v>
      </c>
      <c r="U66" s="151">
        <v>513</v>
      </c>
      <c r="V66" s="151">
        <v>514</v>
      </c>
      <c r="W66" s="151">
        <v>515</v>
      </c>
      <c r="X66" s="89">
        <v>516</v>
      </c>
      <c r="Y66" s="89">
        <v>517</v>
      </c>
      <c r="Z66" s="89">
        <v>518</v>
      </c>
      <c r="AA66" s="146">
        <v>519</v>
      </c>
      <c r="AC66" s="110">
        <v>0</v>
      </c>
    </row>
    <row r="67" spans="2:29">
      <c r="B67" s="145"/>
      <c r="C67" s="89"/>
      <c r="D67" s="89"/>
      <c r="E67" s="89"/>
      <c r="F67" s="89"/>
      <c r="G67" s="89"/>
      <c r="H67" s="89"/>
      <c r="I67" s="146"/>
      <c r="K67" s="145"/>
      <c r="L67" s="89"/>
      <c r="M67" s="89"/>
      <c r="N67" s="89"/>
      <c r="O67" s="89"/>
      <c r="P67" s="89"/>
      <c r="Q67" s="89"/>
      <c r="R67" s="146"/>
      <c r="T67" s="145">
        <v>520</v>
      </c>
      <c r="U67" s="89">
        <v>521</v>
      </c>
      <c r="V67" s="89">
        <v>522</v>
      </c>
      <c r="W67" s="89">
        <v>523</v>
      </c>
      <c r="X67" s="89">
        <v>524</v>
      </c>
      <c r="Y67" s="89">
        <v>525</v>
      </c>
      <c r="Z67" s="89">
        <v>526</v>
      </c>
      <c r="AA67" s="146">
        <v>527</v>
      </c>
      <c r="AC67" s="110">
        <v>0</v>
      </c>
    </row>
    <row r="68" spans="2:29">
      <c r="B68" s="150"/>
      <c r="C68" s="151"/>
      <c r="D68" s="151"/>
      <c r="E68" s="151"/>
      <c r="F68" s="89"/>
      <c r="G68" s="89"/>
      <c r="H68" s="89"/>
      <c r="I68" s="146"/>
      <c r="K68" s="150"/>
      <c r="L68" s="151"/>
      <c r="M68" s="151"/>
      <c r="N68" s="151"/>
      <c r="O68" s="89"/>
      <c r="P68" s="89"/>
      <c r="Q68" s="89"/>
      <c r="R68" s="146"/>
      <c r="T68" s="150">
        <v>528</v>
      </c>
      <c r="U68" s="151">
        <v>529</v>
      </c>
      <c r="V68" s="151">
        <v>530</v>
      </c>
      <c r="W68" s="151">
        <v>531</v>
      </c>
      <c r="X68" s="89">
        <v>532</v>
      </c>
      <c r="Y68" s="89">
        <v>533</v>
      </c>
      <c r="Z68" s="89">
        <v>534</v>
      </c>
      <c r="AA68" s="146">
        <v>535</v>
      </c>
      <c r="AC68" s="110">
        <v>0</v>
      </c>
    </row>
    <row r="69" spans="2:29">
      <c r="B69" s="145"/>
      <c r="C69" s="89"/>
      <c r="D69" s="89"/>
      <c r="E69" s="89"/>
      <c r="F69" s="89"/>
      <c r="G69" s="89"/>
      <c r="H69" s="89"/>
      <c r="I69" s="146"/>
      <c r="K69" s="145"/>
      <c r="L69" s="89"/>
      <c r="M69" s="89"/>
      <c r="N69" s="89"/>
      <c r="O69" s="89"/>
      <c r="P69" s="89"/>
      <c r="Q69" s="89"/>
      <c r="R69" s="146"/>
      <c r="T69" s="145">
        <v>536</v>
      </c>
      <c r="U69" s="89">
        <v>537</v>
      </c>
      <c r="V69" s="89">
        <v>538</v>
      </c>
      <c r="W69" s="89">
        <v>539</v>
      </c>
      <c r="X69" s="89">
        <v>540</v>
      </c>
      <c r="Y69" s="89">
        <v>541</v>
      </c>
      <c r="Z69" s="89">
        <v>542</v>
      </c>
      <c r="AA69" s="146">
        <v>543</v>
      </c>
      <c r="AC69" s="110">
        <v>0</v>
      </c>
    </row>
    <row r="70" spans="2:29">
      <c r="B70" s="150"/>
      <c r="C70" s="151"/>
      <c r="D70" s="151"/>
      <c r="E70" s="151"/>
      <c r="F70" s="89"/>
      <c r="G70" s="89"/>
      <c r="H70" s="89"/>
      <c r="I70" s="146"/>
      <c r="K70" s="150"/>
      <c r="L70" s="151"/>
      <c r="M70" s="151"/>
      <c r="N70" s="151"/>
      <c r="O70" s="89"/>
      <c r="P70" s="89"/>
      <c r="Q70" s="89"/>
      <c r="R70" s="146"/>
      <c r="T70" s="150">
        <v>544</v>
      </c>
      <c r="U70" s="151">
        <v>545</v>
      </c>
      <c r="V70" s="151">
        <v>546</v>
      </c>
      <c r="W70" s="151">
        <v>547</v>
      </c>
      <c r="X70" s="89">
        <v>548</v>
      </c>
      <c r="Y70" s="89">
        <v>549</v>
      </c>
      <c r="Z70" s="89">
        <v>550</v>
      </c>
      <c r="AA70" s="146">
        <v>551</v>
      </c>
      <c r="AC70" s="110">
        <v>0</v>
      </c>
    </row>
    <row r="71" spans="2:29">
      <c r="B71" s="145"/>
      <c r="C71" s="89"/>
      <c r="D71" s="89"/>
      <c r="E71" s="89"/>
      <c r="F71" s="89"/>
      <c r="G71" s="89"/>
      <c r="H71" s="89"/>
      <c r="I71" s="146"/>
      <c r="K71" s="145"/>
      <c r="L71" s="89"/>
      <c r="M71" s="89"/>
      <c r="N71" s="89"/>
      <c r="O71" s="89"/>
      <c r="P71" s="89"/>
      <c r="Q71" s="89"/>
      <c r="R71" s="146"/>
      <c r="T71" s="145">
        <v>552</v>
      </c>
      <c r="U71" s="89">
        <v>553</v>
      </c>
      <c r="V71" s="89">
        <v>554</v>
      </c>
      <c r="W71" s="89">
        <v>555</v>
      </c>
      <c r="X71" s="89">
        <v>556</v>
      </c>
      <c r="Y71" s="89">
        <v>557</v>
      </c>
      <c r="Z71" s="89">
        <v>558</v>
      </c>
      <c r="AA71" s="146">
        <v>559</v>
      </c>
      <c r="AC71" s="110">
        <v>0</v>
      </c>
    </row>
    <row r="72" spans="2:29">
      <c r="B72" s="150"/>
      <c r="C72" s="151"/>
      <c r="D72" s="151"/>
      <c r="E72" s="151"/>
      <c r="F72" s="89"/>
      <c r="G72" s="89"/>
      <c r="H72" s="89"/>
      <c r="I72" s="146"/>
      <c r="K72" s="150"/>
      <c r="L72" s="151"/>
      <c r="M72" s="151"/>
      <c r="N72" s="151"/>
      <c r="O72" s="89"/>
      <c r="P72" s="89"/>
      <c r="Q72" s="89"/>
      <c r="R72" s="146"/>
      <c r="T72" s="150">
        <v>560</v>
      </c>
      <c r="U72" s="151">
        <v>561</v>
      </c>
      <c r="V72" s="151">
        <v>562</v>
      </c>
      <c r="W72" s="151">
        <v>563</v>
      </c>
      <c r="X72" s="89">
        <v>564</v>
      </c>
      <c r="Y72" s="89">
        <v>565</v>
      </c>
      <c r="Z72" s="89">
        <v>566</v>
      </c>
      <c r="AA72" s="146">
        <v>567</v>
      </c>
      <c r="AC72" s="110">
        <v>0</v>
      </c>
    </row>
    <row r="73" spans="2:29">
      <c r="B73" s="145"/>
      <c r="C73" s="89"/>
      <c r="D73" s="89"/>
      <c r="E73" s="89"/>
      <c r="F73" s="89"/>
      <c r="G73" s="89"/>
      <c r="H73" s="89"/>
      <c r="I73" s="146"/>
      <c r="K73" s="145"/>
      <c r="L73" s="89"/>
      <c r="M73" s="89"/>
      <c r="N73" s="89"/>
      <c r="O73" s="89"/>
      <c r="P73" s="89"/>
      <c r="Q73" s="89"/>
      <c r="R73" s="146"/>
      <c r="T73" s="145">
        <v>568</v>
      </c>
      <c r="U73" s="89">
        <v>569</v>
      </c>
      <c r="V73" s="89">
        <v>570</v>
      </c>
      <c r="W73" s="89">
        <v>571</v>
      </c>
      <c r="X73" s="89">
        <v>572</v>
      </c>
      <c r="Y73" s="89">
        <v>573</v>
      </c>
      <c r="Z73" s="89">
        <v>574</v>
      </c>
      <c r="AA73" s="146">
        <v>575</v>
      </c>
      <c r="AC73" s="110">
        <v>0</v>
      </c>
    </row>
    <row r="74" spans="2:29">
      <c r="B74" s="150"/>
      <c r="C74" s="151"/>
      <c r="D74" s="151"/>
      <c r="E74" s="151"/>
      <c r="F74" s="89"/>
      <c r="G74" s="89"/>
      <c r="H74" s="89"/>
      <c r="I74" s="146"/>
      <c r="K74" s="150"/>
      <c r="L74" s="151"/>
      <c r="M74" s="151"/>
      <c r="N74" s="151"/>
      <c r="O74" s="89"/>
      <c r="P74" s="89"/>
      <c r="Q74" s="89"/>
      <c r="R74" s="146"/>
      <c r="T74" s="150">
        <v>576</v>
      </c>
      <c r="U74" s="151">
        <v>577</v>
      </c>
      <c r="V74" s="151">
        <v>578</v>
      </c>
      <c r="W74" s="151">
        <v>579</v>
      </c>
      <c r="X74" s="89">
        <v>580</v>
      </c>
      <c r="Y74" s="89">
        <v>581</v>
      </c>
      <c r="Z74" s="89">
        <v>582</v>
      </c>
      <c r="AA74" s="146">
        <v>583</v>
      </c>
      <c r="AC74" s="110">
        <v>0</v>
      </c>
    </row>
    <row r="75" spans="2:29">
      <c r="B75" s="145"/>
      <c r="C75" s="89"/>
      <c r="D75" s="89"/>
      <c r="E75" s="89"/>
      <c r="F75" s="89"/>
      <c r="G75" s="89"/>
      <c r="H75" s="89"/>
      <c r="I75" s="146"/>
      <c r="K75" s="145"/>
      <c r="L75" s="89"/>
      <c r="M75" s="89"/>
      <c r="N75" s="89"/>
      <c r="O75" s="89"/>
      <c r="P75" s="89"/>
      <c r="Q75" s="89"/>
      <c r="R75" s="146"/>
      <c r="T75" s="145">
        <v>584</v>
      </c>
      <c r="U75" s="89">
        <v>585</v>
      </c>
      <c r="V75" s="89">
        <v>586</v>
      </c>
      <c r="W75" s="89">
        <v>587</v>
      </c>
      <c r="X75" s="89">
        <v>588</v>
      </c>
      <c r="Y75" s="89">
        <v>589</v>
      </c>
      <c r="Z75" s="89">
        <v>590</v>
      </c>
      <c r="AA75" s="146">
        <v>591</v>
      </c>
      <c r="AC75" s="110">
        <v>0</v>
      </c>
    </row>
    <row r="76" spans="2:29">
      <c r="B76" s="150"/>
      <c r="C76" s="151"/>
      <c r="D76" s="151"/>
      <c r="E76" s="151"/>
      <c r="F76" s="89"/>
      <c r="G76" s="89"/>
      <c r="H76" s="89"/>
      <c r="I76" s="146"/>
      <c r="K76" s="150"/>
      <c r="L76" s="151"/>
      <c r="M76" s="151"/>
      <c r="N76" s="151"/>
      <c r="O76" s="89"/>
      <c r="P76" s="89"/>
      <c r="Q76" s="89"/>
      <c r="R76" s="146"/>
      <c r="T76" s="150">
        <v>592</v>
      </c>
      <c r="U76" s="151">
        <v>593</v>
      </c>
      <c r="V76" s="151">
        <v>594</v>
      </c>
      <c r="W76" s="151">
        <v>595</v>
      </c>
      <c r="X76" s="89">
        <v>596</v>
      </c>
      <c r="Y76" s="89">
        <v>597</v>
      </c>
      <c r="Z76" s="89">
        <v>598</v>
      </c>
      <c r="AA76" s="146">
        <v>599</v>
      </c>
      <c r="AC76" s="110">
        <v>0</v>
      </c>
    </row>
    <row r="77" spans="2:29">
      <c r="B77" s="145"/>
      <c r="C77" s="89"/>
      <c r="D77" s="89"/>
      <c r="E77" s="89"/>
      <c r="F77" s="89"/>
      <c r="G77" s="89"/>
      <c r="H77" s="89"/>
      <c r="I77" s="146"/>
      <c r="K77" s="145"/>
      <c r="L77" s="89"/>
      <c r="M77" s="89"/>
      <c r="N77" s="89"/>
      <c r="O77" s="89"/>
      <c r="P77" s="89"/>
      <c r="Q77" s="89"/>
      <c r="R77" s="146"/>
      <c r="T77" s="145">
        <v>600</v>
      </c>
      <c r="U77" s="89">
        <v>601</v>
      </c>
      <c r="V77" s="89">
        <v>602</v>
      </c>
      <c r="W77" s="89">
        <v>603</v>
      </c>
      <c r="X77" s="89">
        <v>604</v>
      </c>
      <c r="Y77" s="89">
        <v>605</v>
      </c>
      <c r="Z77" s="89">
        <v>606</v>
      </c>
      <c r="AA77" s="146">
        <v>607</v>
      </c>
      <c r="AC77" s="110">
        <v>0</v>
      </c>
    </row>
    <row r="78" spans="2:29">
      <c r="B78" s="150"/>
      <c r="C78" s="151"/>
      <c r="D78" s="151"/>
      <c r="E78" s="151"/>
      <c r="F78" s="89"/>
      <c r="G78" s="89"/>
      <c r="H78" s="89"/>
      <c r="I78" s="146"/>
      <c r="K78" s="150"/>
      <c r="L78" s="151"/>
      <c r="M78" s="151"/>
      <c r="N78" s="151"/>
      <c r="O78" s="89"/>
      <c r="P78" s="89"/>
      <c r="Q78" s="89"/>
      <c r="R78" s="146"/>
      <c r="T78" s="150">
        <v>608</v>
      </c>
      <c r="U78" s="151">
        <v>609</v>
      </c>
      <c r="V78" s="151">
        <v>610</v>
      </c>
      <c r="W78" s="151">
        <v>611</v>
      </c>
      <c r="X78" s="89">
        <v>612</v>
      </c>
      <c r="Y78" s="89">
        <v>613</v>
      </c>
      <c r="Z78" s="89">
        <v>614</v>
      </c>
      <c r="AA78" s="146">
        <v>615</v>
      </c>
      <c r="AC78" s="110">
        <v>0</v>
      </c>
    </row>
    <row r="79" spans="2:29">
      <c r="B79" s="145"/>
      <c r="C79" s="89"/>
      <c r="D79" s="89"/>
      <c r="E79" s="89"/>
      <c r="F79" s="89"/>
      <c r="G79" s="89"/>
      <c r="H79" s="89"/>
      <c r="I79" s="146"/>
      <c r="K79" s="145"/>
      <c r="L79" s="89"/>
      <c r="M79" s="89"/>
      <c r="N79" s="89"/>
      <c r="O79" s="89"/>
      <c r="P79" s="89"/>
      <c r="Q79" s="89"/>
      <c r="R79" s="146"/>
      <c r="T79" s="145">
        <v>616</v>
      </c>
      <c r="U79" s="89">
        <v>617</v>
      </c>
      <c r="V79" s="89">
        <v>618</v>
      </c>
      <c r="W79" s="89">
        <v>619</v>
      </c>
      <c r="X79" s="89">
        <v>620</v>
      </c>
      <c r="Y79" s="89">
        <v>621</v>
      </c>
      <c r="Z79" s="89">
        <v>622</v>
      </c>
      <c r="AA79" s="146">
        <v>623</v>
      </c>
      <c r="AC79" s="110">
        <v>0</v>
      </c>
    </row>
    <row r="80" spans="2:29">
      <c r="B80" s="150"/>
      <c r="C80" s="151"/>
      <c r="D80" s="151"/>
      <c r="E80" s="151"/>
      <c r="F80" s="89"/>
      <c r="G80" s="89"/>
      <c r="H80" s="89"/>
      <c r="I80" s="146"/>
      <c r="K80" s="150"/>
      <c r="L80" s="151"/>
      <c r="M80" s="151"/>
      <c r="N80" s="151"/>
      <c r="O80" s="89"/>
      <c r="P80" s="89"/>
      <c r="Q80" s="89"/>
      <c r="R80" s="146"/>
      <c r="T80" s="150">
        <v>624</v>
      </c>
      <c r="U80" s="151">
        <v>625</v>
      </c>
      <c r="V80" s="151">
        <v>626</v>
      </c>
      <c r="W80" s="151">
        <v>627</v>
      </c>
      <c r="X80" s="89">
        <v>628</v>
      </c>
      <c r="Y80" s="89">
        <v>629</v>
      </c>
      <c r="Z80" s="89">
        <v>630</v>
      </c>
      <c r="AA80" s="146">
        <v>631</v>
      </c>
      <c r="AC80" s="110">
        <v>0</v>
      </c>
    </row>
    <row r="81" spans="2:29">
      <c r="B81" s="145"/>
      <c r="C81" s="89"/>
      <c r="D81" s="89"/>
      <c r="E81" s="89"/>
      <c r="F81" s="89"/>
      <c r="G81" s="89"/>
      <c r="H81" s="89"/>
      <c r="I81" s="146"/>
      <c r="K81" s="145"/>
      <c r="L81" s="89"/>
      <c r="M81" s="89"/>
      <c r="N81" s="89"/>
      <c r="O81" s="89"/>
      <c r="P81" s="89"/>
      <c r="Q81" s="89"/>
      <c r="R81" s="146"/>
      <c r="T81" s="145">
        <v>632</v>
      </c>
      <c r="U81" s="89">
        <v>633</v>
      </c>
      <c r="V81" s="89">
        <v>634</v>
      </c>
      <c r="W81" s="89">
        <v>635</v>
      </c>
      <c r="X81" s="89">
        <v>636</v>
      </c>
      <c r="Y81" s="89">
        <v>637</v>
      </c>
      <c r="Z81" s="89">
        <v>638</v>
      </c>
      <c r="AA81" s="146">
        <v>639</v>
      </c>
      <c r="AC81" s="110">
        <v>0</v>
      </c>
    </row>
    <row r="82" spans="2:29">
      <c r="B82" s="150"/>
      <c r="C82" s="151"/>
      <c r="D82" s="151"/>
      <c r="E82" s="151"/>
      <c r="F82" s="89"/>
      <c r="G82" s="89"/>
      <c r="H82" s="89"/>
      <c r="I82" s="146"/>
      <c r="K82" s="150"/>
      <c r="L82" s="151"/>
      <c r="M82" s="151"/>
      <c r="N82" s="151"/>
      <c r="O82" s="89"/>
      <c r="P82" s="89"/>
      <c r="Q82" s="89"/>
      <c r="R82" s="146"/>
      <c r="T82" s="150">
        <v>640</v>
      </c>
      <c r="U82" s="151">
        <v>641</v>
      </c>
      <c r="V82" s="151">
        <v>642</v>
      </c>
      <c r="W82" s="151">
        <v>643</v>
      </c>
      <c r="X82" s="89">
        <v>644</v>
      </c>
      <c r="Y82" s="89">
        <v>645</v>
      </c>
      <c r="Z82" s="89">
        <v>646</v>
      </c>
      <c r="AA82" s="146">
        <v>647</v>
      </c>
      <c r="AC82" s="110">
        <v>0</v>
      </c>
    </row>
    <row r="83" spans="2:29">
      <c r="B83" s="145"/>
      <c r="C83" s="89"/>
      <c r="D83" s="89"/>
      <c r="E83" s="89"/>
      <c r="F83" s="89"/>
      <c r="G83" s="89"/>
      <c r="H83" s="89"/>
      <c r="I83" s="146"/>
      <c r="K83" s="145"/>
      <c r="L83" s="89"/>
      <c r="M83" s="89"/>
      <c r="N83" s="89"/>
      <c r="O83" s="89"/>
      <c r="P83" s="89"/>
      <c r="Q83" s="89"/>
      <c r="R83" s="146"/>
      <c r="T83" s="145">
        <v>648</v>
      </c>
      <c r="U83" s="89">
        <v>649</v>
      </c>
      <c r="V83" s="89">
        <v>650</v>
      </c>
      <c r="W83" s="89">
        <v>651</v>
      </c>
      <c r="X83" s="89">
        <v>652</v>
      </c>
      <c r="Y83" s="89">
        <v>653</v>
      </c>
      <c r="Z83" s="89">
        <v>654</v>
      </c>
      <c r="AA83" s="146">
        <v>655</v>
      </c>
      <c r="AC83" s="110">
        <v>0</v>
      </c>
    </row>
    <row r="84" spans="2:29">
      <c r="B84" s="150"/>
      <c r="C84" s="151"/>
      <c r="D84" s="151"/>
      <c r="E84" s="151"/>
      <c r="F84" s="89"/>
      <c r="G84" s="89"/>
      <c r="H84" s="89"/>
      <c r="I84" s="146"/>
      <c r="K84" s="150"/>
      <c r="L84" s="151"/>
      <c r="M84" s="151"/>
      <c r="N84" s="151"/>
      <c r="O84" s="89"/>
      <c r="P84" s="89"/>
      <c r="Q84" s="89"/>
      <c r="R84" s="146"/>
      <c r="T84" s="150">
        <v>656</v>
      </c>
      <c r="U84" s="151">
        <v>657</v>
      </c>
      <c r="V84" s="151">
        <v>658</v>
      </c>
      <c r="W84" s="151">
        <v>659</v>
      </c>
      <c r="X84" s="89">
        <v>660</v>
      </c>
      <c r="Y84" s="89">
        <v>661</v>
      </c>
      <c r="Z84" s="89">
        <v>662</v>
      </c>
      <c r="AA84" s="146">
        <v>663</v>
      </c>
      <c r="AC84" s="162">
        <v>6.6380300722812503E-7</v>
      </c>
    </row>
    <row r="85" spans="2:29">
      <c r="B85" s="145"/>
      <c r="C85" s="89"/>
      <c r="D85" s="89"/>
      <c r="E85" s="89"/>
      <c r="F85" s="89"/>
      <c r="G85" s="89"/>
      <c r="H85" s="89"/>
      <c r="I85" s="146"/>
      <c r="K85" s="145"/>
      <c r="L85" s="89"/>
      <c r="M85" s="89"/>
      <c r="N85" s="89"/>
      <c r="O85" s="89"/>
      <c r="P85" s="89"/>
      <c r="Q85" s="89"/>
      <c r="R85" s="146"/>
      <c r="T85" s="145">
        <v>664</v>
      </c>
      <c r="U85" s="89">
        <v>665</v>
      </c>
      <c r="V85" s="89">
        <v>666</v>
      </c>
      <c r="W85" s="89">
        <v>667</v>
      </c>
      <c r="X85" s="89">
        <v>668</v>
      </c>
      <c r="Y85" s="89">
        <v>669</v>
      </c>
      <c r="Z85" s="89">
        <v>670</v>
      </c>
      <c r="AA85" s="146">
        <v>671</v>
      </c>
      <c r="AC85" s="162">
        <v>1.024251256726E-11</v>
      </c>
    </row>
    <row r="86" spans="2:29">
      <c r="B86" s="150"/>
      <c r="C86" s="151"/>
      <c r="D86" s="151"/>
      <c r="E86" s="151"/>
      <c r="F86" s="89"/>
      <c r="G86" s="89"/>
      <c r="H86" s="89"/>
      <c r="I86" s="146"/>
      <c r="K86" s="150"/>
      <c r="L86" s="151"/>
      <c r="M86" s="151"/>
      <c r="N86" s="151"/>
      <c r="O86" s="89"/>
      <c r="P86" s="89"/>
      <c r="Q86" s="89"/>
      <c r="R86" s="146"/>
      <c r="T86" s="150">
        <v>672</v>
      </c>
      <c r="U86" s="151">
        <v>673</v>
      </c>
      <c r="V86" s="151">
        <v>674</v>
      </c>
      <c r="W86" s="151">
        <v>675</v>
      </c>
      <c r="X86" s="89">
        <v>676</v>
      </c>
      <c r="Y86" s="89">
        <v>677</v>
      </c>
      <c r="Z86" s="89">
        <v>678</v>
      </c>
      <c r="AA86" s="146">
        <v>679</v>
      </c>
      <c r="AC86" s="162">
        <v>2.3314434827170701E-9</v>
      </c>
    </row>
    <row r="87" spans="2:29">
      <c r="B87" s="178" t="s">
        <v>251</v>
      </c>
      <c r="C87" s="175"/>
      <c r="D87" s="175"/>
      <c r="E87" s="175"/>
      <c r="F87" s="175"/>
      <c r="G87" s="175"/>
      <c r="H87" s="175"/>
      <c r="I87" s="176"/>
      <c r="K87" s="178" t="s">
        <v>252</v>
      </c>
      <c r="L87" s="175"/>
      <c r="M87" s="175"/>
      <c r="N87" s="175"/>
      <c r="O87" s="175"/>
      <c r="P87" s="175"/>
      <c r="Q87" s="175"/>
      <c r="R87" s="176"/>
      <c r="T87" s="145">
        <v>680</v>
      </c>
      <c r="U87" s="89">
        <v>681</v>
      </c>
      <c r="V87" s="89">
        <v>682</v>
      </c>
      <c r="W87" s="89">
        <v>683</v>
      </c>
      <c r="X87" s="89">
        <v>684</v>
      </c>
      <c r="Y87" s="89">
        <v>685</v>
      </c>
      <c r="Z87" s="89">
        <v>686</v>
      </c>
      <c r="AA87" s="146">
        <v>687</v>
      </c>
      <c r="AC87" s="110">
        <v>1.7187820049002699E-4</v>
      </c>
    </row>
    <row r="88" spans="2:29">
      <c r="B88" s="178"/>
      <c r="C88" s="175"/>
      <c r="D88" s="175"/>
      <c r="E88" s="151"/>
      <c r="F88" s="89"/>
      <c r="G88" s="89"/>
      <c r="H88" s="89"/>
      <c r="I88" s="146"/>
      <c r="K88" s="178"/>
      <c r="L88" s="175"/>
      <c r="M88" s="175"/>
      <c r="N88" s="151"/>
      <c r="O88" s="89"/>
      <c r="P88" s="89"/>
      <c r="Q88" s="89"/>
      <c r="R88" s="146"/>
      <c r="T88" s="150">
        <v>688</v>
      </c>
      <c r="U88" s="151">
        <v>689</v>
      </c>
      <c r="V88" s="151">
        <v>690</v>
      </c>
      <c r="W88" s="151">
        <v>691</v>
      </c>
      <c r="X88" s="89">
        <v>692</v>
      </c>
      <c r="Y88" s="89">
        <v>693</v>
      </c>
      <c r="Z88" s="89">
        <v>694</v>
      </c>
      <c r="AA88" s="146">
        <v>695</v>
      </c>
      <c r="AC88" s="162">
        <v>4.1652216398180202E-11</v>
      </c>
    </row>
    <row r="89" spans="2:29">
      <c r="B89" s="145"/>
      <c r="C89" s="89"/>
      <c r="D89" s="89"/>
      <c r="E89" s="89"/>
      <c r="F89" s="89"/>
      <c r="G89" s="89"/>
      <c r="H89" s="89"/>
      <c r="I89" s="146"/>
      <c r="K89" s="145"/>
      <c r="L89" s="89"/>
      <c r="M89" s="89"/>
      <c r="N89" s="89"/>
      <c r="O89" s="89"/>
      <c r="P89" s="89"/>
      <c r="Q89" s="89"/>
      <c r="R89" s="146"/>
      <c r="T89" s="145">
        <v>696</v>
      </c>
      <c r="U89" s="89">
        <v>697</v>
      </c>
      <c r="V89" s="89">
        <v>698</v>
      </c>
      <c r="W89" s="89">
        <v>699</v>
      </c>
      <c r="X89" s="89">
        <v>700</v>
      </c>
      <c r="Y89" s="89">
        <v>701</v>
      </c>
      <c r="Z89" s="89">
        <v>702</v>
      </c>
      <c r="AA89" s="146">
        <v>703</v>
      </c>
      <c r="AC89" s="162">
        <v>5.2540620933026103E-39</v>
      </c>
    </row>
    <row r="90" spans="2:29">
      <c r="B90" s="150"/>
      <c r="C90" s="151"/>
      <c r="D90" s="151"/>
      <c r="E90" s="151"/>
      <c r="F90" s="89"/>
      <c r="G90" s="89"/>
      <c r="H90" s="89"/>
      <c r="I90" s="146"/>
      <c r="K90" s="150"/>
      <c r="L90" s="151"/>
      <c r="M90" s="151"/>
      <c r="N90" s="151"/>
      <c r="O90" s="89"/>
      <c r="P90" s="89"/>
      <c r="Q90" s="89"/>
      <c r="R90" s="146"/>
      <c r="T90" s="150">
        <v>704</v>
      </c>
      <c r="U90" s="151">
        <v>705</v>
      </c>
      <c r="V90" s="151">
        <v>706</v>
      </c>
      <c r="W90" s="151">
        <v>707</v>
      </c>
      <c r="X90" s="89">
        <v>708</v>
      </c>
      <c r="Y90" s="89">
        <v>709</v>
      </c>
      <c r="Z90" s="89">
        <v>710</v>
      </c>
      <c r="AA90" s="146">
        <v>711</v>
      </c>
      <c r="AC90" s="110">
        <v>0</v>
      </c>
    </row>
    <row r="91" spans="2:29">
      <c r="B91" s="145"/>
      <c r="C91" s="89"/>
      <c r="D91" s="89"/>
      <c r="E91" s="89"/>
      <c r="F91" s="89"/>
      <c r="G91" s="89"/>
      <c r="H91" s="89"/>
      <c r="I91" s="146"/>
      <c r="K91" s="145"/>
      <c r="L91" s="89"/>
      <c r="M91" s="89"/>
      <c r="N91" s="89"/>
      <c r="O91" s="89"/>
      <c r="P91" s="89"/>
      <c r="Q91" s="89"/>
      <c r="R91" s="146"/>
      <c r="T91" s="145">
        <v>712</v>
      </c>
      <c r="U91" s="89">
        <v>713</v>
      </c>
      <c r="V91" s="89">
        <v>714</v>
      </c>
      <c r="W91" s="89">
        <v>715</v>
      </c>
      <c r="X91" s="89">
        <v>716</v>
      </c>
      <c r="Y91" s="89">
        <v>717</v>
      </c>
      <c r="Z91" s="89">
        <v>718</v>
      </c>
      <c r="AA91" s="146">
        <v>719</v>
      </c>
      <c r="AC91" s="110">
        <v>0</v>
      </c>
    </row>
    <row r="92" spans="2:29">
      <c r="B92" s="150"/>
      <c r="C92" s="151"/>
      <c r="D92" s="151"/>
      <c r="E92" s="151"/>
      <c r="F92" s="89"/>
      <c r="G92" s="89"/>
      <c r="H92" s="89"/>
      <c r="I92" s="146"/>
      <c r="K92" s="150"/>
      <c r="L92" s="151"/>
      <c r="M92" s="151"/>
      <c r="N92" s="151"/>
      <c r="O92" s="89"/>
      <c r="P92" s="89"/>
      <c r="Q92" s="89"/>
      <c r="R92" s="146"/>
      <c r="T92" s="150">
        <v>720</v>
      </c>
      <c r="U92" s="151">
        <v>721</v>
      </c>
      <c r="V92" s="151">
        <v>722</v>
      </c>
      <c r="W92" s="151">
        <v>723</v>
      </c>
      <c r="X92" s="89">
        <v>724</v>
      </c>
      <c r="Y92" s="89">
        <v>725</v>
      </c>
      <c r="Z92" s="89">
        <v>726</v>
      </c>
      <c r="AA92" s="146">
        <v>727</v>
      </c>
      <c r="AC92" s="110">
        <v>0</v>
      </c>
    </row>
    <row r="93" spans="2:29">
      <c r="B93" s="145"/>
      <c r="C93" s="89"/>
      <c r="D93" s="89"/>
      <c r="E93" s="89"/>
      <c r="F93" s="89"/>
      <c r="G93" s="89"/>
      <c r="H93" s="89"/>
      <c r="I93" s="146"/>
      <c r="K93" s="145"/>
      <c r="L93" s="89"/>
      <c r="M93" s="89"/>
      <c r="N93" s="89"/>
      <c r="O93" s="89"/>
      <c r="P93" s="89"/>
      <c r="Q93" s="89"/>
      <c r="R93" s="146"/>
      <c r="T93" s="145">
        <v>728</v>
      </c>
      <c r="U93" s="89">
        <v>729</v>
      </c>
      <c r="V93" s="89">
        <v>730</v>
      </c>
      <c r="W93" s="89">
        <v>731</v>
      </c>
      <c r="X93" s="89">
        <v>732</v>
      </c>
      <c r="Y93" s="89">
        <v>733</v>
      </c>
      <c r="Z93" s="89">
        <v>734</v>
      </c>
      <c r="AA93" s="146">
        <v>735</v>
      </c>
      <c r="AC93" s="110">
        <v>0</v>
      </c>
    </row>
    <row r="94" spans="2:29">
      <c r="B94" s="150"/>
      <c r="C94" s="151"/>
      <c r="D94" s="151"/>
      <c r="E94" s="151"/>
      <c r="F94" s="89"/>
      <c r="G94" s="89"/>
      <c r="H94" s="89"/>
      <c r="I94" s="146"/>
      <c r="K94" s="150"/>
      <c r="L94" s="151"/>
      <c r="M94" s="151"/>
      <c r="N94" s="151"/>
      <c r="O94" s="89"/>
      <c r="P94" s="89"/>
      <c r="Q94" s="89"/>
      <c r="R94" s="146"/>
      <c r="T94" s="150">
        <v>736</v>
      </c>
      <c r="U94" s="151">
        <v>737</v>
      </c>
      <c r="V94" s="151">
        <v>738</v>
      </c>
      <c r="W94" s="151">
        <v>739</v>
      </c>
      <c r="X94" s="89">
        <v>740</v>
      </c>
      <c r="Y94" s="89">
        <v>741</v>
      </c>
      <c r="Z94" s="89">
        <v>742</v>
      </c>
      <c r="AA94" s="146">
        <v>743</v>
      </c>
      <c r="AC94" s="110">
        <v>0</v>
      </c>
    </row>
    <row r="95" spans="2:29">
      <c r="B95" s="145"/>
      <c r="C95" s="89"/>
      <c r="D95" s="89"/>
      <c r="E95" s="89"/>
      <c r="F95" s="89"/>
      <c r="G95" s="89"/>
      <c r="H95" s="89"/>
      <c r="I95" s="146"/>
      <c r="K95" s="145"/>
      <c r="L95" s="89"/>
      <c r="M95" s="89"/>
      <c r="N95" s="89"/>
      <c r="O95" s="89"/>
      <c r="P95" s="89"/>
      <c r="Q95" s="89"/>
      <c r="R95" s="146"/>
      <c r="T95" s="145">
        <v>744</v>
      </c>
      <c r="U95" s="89">
        <v>745</v>
      </c>
      <c r="V95" s="89">
        <v>746</v>
      </c>
      <c r="W95" s="89">
        <v>747</v>
      </c>
      <c r="X95" s="89">
        <v>748</v>
      </c>
      <c r="Y95" s="89">
        <v>749</v>
      </c>
      <c r="Z95" s="89">
        <v>750</v>
      </c>
      <c r="AA95" s="146">
        <v>751</v>
      </c>
      <c r="AC95" s="110">
        <v>0</v>
      </c>
    </row>
    <row r="96" spans="2:29">
      <c r="B96" s="150"/>
      <c r="C96" s="151"/>
      <c r="D96" s="151"/>
      <c r="E96" s="151"/>
      <c r="F96" s="89"/>
      <c r="G96" s="89"/>
      <c r="H96" s="89"/>
      <c r="I96" s="146"/>
      <c r="K96" s="150"/>
      <c r="L96" s="151"/>
      <c r="M96" s="151"/>
      <c r="N96" s="151"/>
      <c r="O96" s="89"/>
      <c r="P96" s="89"/>
      <c r="Q96" s="89"/>
      <c r="R96" s="146"/>
      <c r="T96" s="150">
        <v>752</v>
      </c>
      <c r="U96" s="151">
        <v>753</v>
      </c>
      <c r="V96" s="151">
        <v>754</v>
      </c>
      <c r="W96" s="151">
        <v>755</v>
      </c>
      <c r="X96" s="89">
        <v>756</v>
      </c>
      <c r="Y96" s="89">
        <v>757</v>
      </c>
      <c r="Z96" s="89">
        <v>758</v>
      </c>
      <c r="AA96" s="146">
        <v>759</v>
      </c>
      <c r="AC96" s="110">
        <v>0</v>
      </c>
    </row>
    <row r="97" spans="2:29">
      <c r="B97" s="145"/>
      <c r="C97" s="89"/>
      <c r="D97" s="89"/>
      <c r="E97" s="89"/>
      <c r="F97" s="89"/>
      <c r="G97" s="89"/>
      <c r="H97" s="89"/>
      <c r="I97" s="146"/>
      <c r="K97" s="145"/>
      <c r="L97" s="89"/>
      <c r="M97" s="89"/>
      <c r="N97" s="89"/>
      <c r="O97" s="89"/>
      <c r="P97" s="89"/>
      <c r="Q97" s="89"/>
      <c r="R97" s="146"/>
      <c r="T97" s="145">
        <v>760</v>
      </c>
      <c r="U97" s="89">
        <v>761</v>
      </c>
      <c r="V97" s="89">
        <v>762</v>
      </c>
      <c r="W97" s="89">
        <v>763</v>
      </c>
      <c r="X97" s="89">
        <v>764</v>
      </c>
      <c r="Y97" s="89">
        <v>765</v>
      </c>
      <c r="Z97" s="89">
        <v>766</v>
      </c>
      <c r="AA97" s="146">
        <v>767</v>
      </c>
      <c r="AC97" s="110">
        <v>0</v>
      </c>
    </row>
    <row r="98" spans="2:29">
      <c r="B98" s="150"/>
      <c r="C98" s="151"/>
      <c r="D98" s="151"/>
      <c r="E98" s="151"/>
      <c r="F98" s="89"/>
      <c r="G98" s="89"/>
      <c r="H98" s="89"/>
      <c r="I98" s="146"/>
      <c r="K98" s="150"/>
      <c r="L98" s="151"/>
      <c r="M98" s="151"/>
      <c r="N98" s="151"/>
      <c r="O98" s="89"/>
      <c r="P98" s="89"/>
      <c r="Q98" s="89"/>
      <c r="R98" s="146"/>
      <c r="T98" s="150">
        <v>768</v>
      </c>
      <c r="U98" s="151">
        <v>769</v>
      </c>
      <c r="V98" s="151">
        <v>770</v>
      </c>
      <c r="W98" s="151">
        <v>771</v>
      </c>
      <c r="X98" s="89">
        <v>772</v>
      </c>
      <c r="Y98" s="89">
        <v>773</v>
      </c>
      <c r="Z98" s="89">
        <v>774</v>
      </c>
      <c r="AA98" s="146">
        <v>775</v>
      </c>
      <c r="AC98" s="110">
        <v>0</v>
      </c>
    </row>
    <row r="99" spans="2:29">
      <c r="B99" s="145"/>
      <c r="C99" s="89"/>
      <c r="D99" s="89"/>
      <c r="E99" s="89"/>
      <c r="F99" s="89"/>
      <c r="G99" s="89"/>
      <c r="H99" s="89"/>
      <c r="I99" s="146"/>
      <c r="K99" s="145"/>
      <c r="L99" s="89"/>
      <c r="M99" s="89"/>
      <c r="N99" s="89"/>
      <c r="O99" s="89"/>
      <c r="P99" s="89"/>
      <c r="Q99" s="89"/>
      <c r="R99" s="146"/>
      <c r="T99" s="145">
        <v>776</v>
      </c>
      <c r="U99" s="89">
        <v>777</v>
      </c>
      <c r="V99" s="89">
        <v>778</v>
      </c>
      <c r="W99" s="89">
        <v>779</v>
      </c>
      <c r="X99" s="89">
        <v>780</v>
      </c>
      <c r="Y99" s="89">
        <v>781</v>
      </c>
      <c r="Z99" s="89">
        <v>782</v>
      </c>
      <c r="AA99" s="146">
        <v>783</v>
      </c>
      <c r="AC99" s="110">
        <v>0</v>
      </c>
    </row>
    <row r="100" spans="2:29">
      <c r="B100" s="150"/>
      <c r="C100" s="151"/>
      <c r="D100" s="151"/>
      <c r="E100" s="151"/>
      <c r="F100" s="89"/>
      <c r="G100" s="89"/>
      <c r="H100" s="89"/>
      <c r="I100" s="146"/>
      <c r="K100" s="150"/>
      <c r="L100" s="151"/>
      <c r="M100" s="151"/>
      <c r="N100" s="151"/>
      <c r="O100" s="89"/>
      <c r="P100" s="89"/>
      <c r="Q100" s="89"/>
      <c r="R100" s="146"/>
      <c r="T100" s="150">
        <v>784</v>
      </c>
      <c r="U100" s="151">
        <v>785</v>
      </c>
      <c r="V100" s="151">
        <v>786</v>
      </c>
      <c r="W100" s="151">
        <v>787</v>
      </c>
      <c r="X100" s="89">
        <v>788</v>
      </c>
      <c r="Y100" s="89">
        <v>789</v>
      </c>
      <c r="Z100" s="89">
        <v>790</v>
      </c>
      <c r="AA100" s="146">
        <v>791</v>
      </c>
      <c r="AC100" s="162">
        <v>6.6380300722812503E-7</v>
      </c>
    </row>
    <row r="101" spans="2:29">
      <c r="B101" s="145"/>
      <c r="C101" s="89"/>
      <c r="D101" s="89"/>
      <c r="E101" s="89"/>
      <c r="F101" s="89"/>
      <c r="G101" s="89"/>
      <c r="H101" s="89"/>
      <c r="I101" s="146"/>
      <c r="K101" s="145"/>
      <c r="L101" s="89"/>
      <c r="M101" s="89"/>
      <c r="N101" s="89"/>
      <c r="O101" s="89"/>
      <c r="P101" s="89"/>
      <c r="Q101" s="89"/>
      <c r="R101" s="146"/>
      <c r="T101" s="145">
        <v>792</v>
      </c>
      <c r="U101" s="89">
        <v>793</v>
      </c>
      <c r="V101" s="89">
        <v>794</v>
      </c>
      <c r="W101" s="89">
        <v>795</v>
      </c>
      <c r="X101" s="89">
        <v>796</v>
      </c>
      <c r="Y101" s="89">
        <v>797</v>
      </c>
      <c r="Z101" s="89">
        <v>798</v>
      </c>
      <c r="AA101" s="146">
        <v>799</v>
      </c>
      <c r="AC101" s="162">
        <v>1.024251256726E-11</v>
      </c>
    </row>
    <row r="102" spans="2:29">
      <c r="B102" s="178" t="s">
        <v>192</v>
      </c>
      <c r="C102" s="175"/>
      <c r="D102" s="175"/>
      <c r="E102" s="175"/>
      <c r="F102" s="175"/>
      <c r="G102" s="175"/>
      <c r="H102" s="175"/>
      <c r="I102" s="176"/>
      <c r="K102" s="185" t="s">
        <v>253</v>
      </c>
      <c r="L102" s="175"/>
      <c r="M102" s="175"/>
      <c r="N102" s="175"/>
      <c r="O102" s="175"/>
      <c r="P102" s="175"/>
      <c r="Q102" s="175"/>
      <c r="R102" s="176"/>
      <c r="T102" s="150">
        <v>800</v>
      </c>
      <c r="U102" s="151">
        <v>801</v>
      </c>
      <c r="V102" s="151">
        <v>802</v>
      </c>
      <c r="W102" s="151">
        <v>803</v>
      </c>
      <c r="X102" s="89">
        <v>804</v>
      </c>
      <c r="Y102" s="89">
        <v>805</v>
      </c>
      <c r="Z102" s="89">
        <v>806</v>
      </c>
      <c r="AA102" s="146">
        <v>807</v>
      </c>
      <c r="AC102" s="162">
        <v>9.32486621252337E-9</v>
      </c>
    </row>
    <row r="103" spans="2:29">
      <c r="B103" s="178"/>
      <c r="C103" s="175"/>
      <c r="D103" s="175"/>
      <c r="E103" s="175"/>
      <c r="F103" s="175"/>
      <c r="G103" s="175"/>
      <c r="H103" s="175"/>
      <c r="I103" s="176"/>
      <c r="K103" s="178"/>
      <c r="L103" s="175"/>
      <c r="M103" s="175"/>
      <c r="N103" s="175"/>
      <c r="O103" s="175"/>
      <c r="P103" s="175"/>
      <c r="Q103" s="175"/>
      <c r="R103" s="176"/>
      <c r="T103" s="145">
        <v>808</v>
      </c>
      <c r="U103" s="89">
        <v>809</v>
      </c>
      <c r="V103" s="89">
        <v>810</v>
      </c>
      <c r="W103" s="89">
        <v>811</v>
      </c>
      <c r="X103" s="89">
        <v>812</v>
      </c>
      <c r="Y103" s="89">
        <v>813</v>
      </c>
      <c r="Z103" s="89">
        <v>814</v>
      </c>
      <c r="AA103" s="146">
        <v>815</v>
      </c>
      <c r="AC103" s="162">
        <v>6.48387121771065E-10</v>
      </c>
    </row>
    <row r="104" spans="2:29">
      <c r="B104" s="178"/>
      <c r="C104" s="175"/>
      <c r="D104" s="175"/>
      <c r="E104" s="175"/>
      <c r="F104" s="89"/>
      <c r="G104" s="89"/>
      <c r="H104" s="89"/>
      <c r="I104" s="146"/>
      <c r="K104" s="154"/>
      <c r="L104" s="155"/>
      <c r="M104" s="155"/>
      <c r="N104" s="155"/>
      <c r="O104" s="89"/>
      <c r="P104" s="89"/>
      <c r="Q104" s="89"/>
      <c r="R104" s="146"/>
      <c r="T104" s="150">
        <v>816</v>
      </c>
      <c r="U104" s="151">
        <v>817</v>
      </c>
      <c r="V104" s="151">
        <v>818</v>
      </c>
      <c r="W104" s="151">
        <v>819</v>
      </c>
      <c r="X104" s="89">
        <v>820</v>
      </c>
      <c r="Y104" s="89">
        <v>821</v>
      </c>
      <c r="Z104" s="89">
        <v>822</v>
      </c>
      <c r="AA104" s="146">
        <v>823</v>
      </c>
      <c r="AC104" s="162">
        <v>4.05171243778035E-11</v>
      </c>
    </row>
    <row r="105" spans="2:29">
      <c r="B105" s="145"/>
      <c r="C105" s="89"/>
      <c r="D105" s="89"/>
      <c r="E105" s="89"/>
      <c r="F105" s="89"/>
      <c r="G105" s="89"/>
      <c r="H105" s="89"/>
      <c r="I105" s="146"/>
      <c r="K105" s="145"/>
      <c r="L105" s="89"/>
      <c r="M105" s="89"/>
      <c r="N105" s="89"/>
      <c r="O105" s="89"/>
      <c r="P105" s="89"/>
      <c r="Q105" s="89"/>
      <c r="R105" s="146"/>
      <c r="T105" s="145">
        <v>824</v>
      </c>
      <c r="U105" s="89">
        <v>825</v>
      </c>
      <c r="V105" s="89">
        <v>826</v>
      </c>
      <c r="W105" s="89">
        <v>827</v>
      </c>
      <c r="X105" s="89">
        <v>828</v>
      </c>
      <c r="Y105" s="89">
        <v>829</v>
      </c>
      <c r="Z105" s="89">
        <v>830</v>
      </c>
      <c r="AA105" s="146">
        <v>831</v>
      </c>
      <c r="AC105" s="162">
        <v>4.42575597233867E-39</v>
      </c>
    </row>
    <row r="106" spans="2:29">
      <c r="B106" s="150"/>
      <c r="C106" s="151"/>
      <c r="D106" s="151"/>
      <c r="E106" s="151"/>
      <c r="F106" s="89"/>
      <c r="G106" s="89"/>
      <c r="H106" s="89"/>
      <c r="I106" s="146"/>
      <c r="K106" s="150"/>
      <c r="L106" s="151"/>
      <c r="M106" s="151"/>
      <c r="N106" s="151"/>
      <c r="O106" s="89"/>
      <c r="P106" s="89"/>
      <c r="Q106" s="89"/>
      <c r="R106" s="146"/>
      <c r="T106" s="150">
        <v>832</v>
      </c>
      <c r="U106" s="151">
        <v>833</v>
      </c>
      <c r="V106" s="151">
        <v>834</v>
      </c>
      <c r="W106" s="151">
        <v>835</v>
      </c>
      <c r="X106" s="89">
        <v>836</v>
      </c>
      <c r="Y106" s="89">
        <v>837</v>
      </c>
      <c r="Z106" s="89">
        <v>838</v>
      </c>
      <c r="AA106" s="146">
        <v>839</v>
      </c>
      <c r="AC106" s="110">
        <v>0</v>
      </c>
    </row>
    <row r="107" spans="2:29">
      <c r="B107" s="145"/>
      <c r="C107" s="89"/>
      <c r="D107" s="89"/>
      <c r="E107" s="89"/>
      <c r="F107" s="89"/>
      <c r="G107" s="89"/>
      <c r="H107" s="89"/>
      <c r="I107" s="146"/>
      <c r="K107" s="145"/>
      <c r="L107" s="89"/>
      <c r="M107" s="89"/>
      <c r="N107" s="89"/>
      <c r="O107" s="89"/>
      <c r="P107" s="89"/>
      <c r="Q107" s="89"/>
      <c r="R107" s="146"/>
      <c r="T107" s="145">
        <v>840</v>
      </c>
      <c r="U107" s="89">
        <v>841</v>
      </c>
      <c r="V107" s="89">
        <v>842</v>
      </c>
      <c r="W107" s="89">
        <v>843</v>
      </c>
      <c r="X107" s="89">
        <v>844</v>
      </c>
      <c r="Y107" s="89">
        <v>845</v>
      </c>
      <c r="Z107" s="89">
        <v>846</v>
      </c>
      <c r="AA107" s="146">
        <v>847</v>
      </c>
      <c r="AC107" s="110">
        <v>0</v>
      </c>
    </row>
    <row r="108" spans="2:29">
      <c r="B108" s="150"/>
      <c r="C108" s="151"/>
      <c r="D108" s="151"/>
      <c r="E108" s="151"/>
      <c r="F108" s="89"/>
      <c r="G108" s="89"/>
      <c r="H108" s="89"/>
      <c r="I108" s="146"/>
      <c r="K108" s="150"/>
      <c r="L108" s="151"/>
      <c r="M108" s="151"/>
      <c r="N108" s="151"/>
      <c r="O108" s="89"/>
      <c r="P108" s="89"/>
      <c r="Q108" s="89"/>
      <c r="R108" s="146"/>
      <c r="T108" s="150">
        <v>848</v>
      </c>
      <c r="U108" s="151">
        <v>849</v>
      </c>
      <c r="V108" s="151">
        <v>850</v>
      </c>
      <c r="W108" s="151">
        <v>851</v>
      </c>
      <c r="X108" s="89">
        <v>852</v>
      </c>
      <c r="Y108" s="89">
        <v>853</v>
      </c>
      <c r="Z108" s="89">
        <v>854</v>
      </c>
      <c r="AA108" s="146">
        <v>855</v>
      </c>
      <c r="AC108" s="110">
        <v>0</v>
      </c>
    </row>
    <row r="109" spans="2:29">
      <c r="B109" s="145"/>
      <c r="C109" s="89"/>
      <c r="D109" s="89"/>
      <c r="E109" s="89"/>
      <c r="F109" s="89"/>
      <c r="G109" s="89"/>
      <c r="H109" s="89"/>
      <c r="I109" s="146"/>
      <c r="K109" s="145"/>
      <c r="L109" s="89"/>
      <c r="M109" s="89"/>
      <c r="N109" s="89"/>
      <c r="O109" s="89"/>
      <c r="P109" s="89"/>
      <c r="Q109" s="89"/>
      <c r="R109" s="146"/>
      <c r="T109" s="145">
        <v>856</v>
      </c>
      <c r="U109" s="89">
        <v>857</v>
      </c>
      <c r="V109" s="89">
        <v>858</v>
      </c>
      <c r="W109" s="89">
        <v>859</v>
      </c>
      <c r="X109" s="89">
        <v>860</v>
      </c>
      <c r="Y109" s="89">
        <v>861</v>
      </c>
      <c r="Z109" s="89">
        <v>862</v>
      </c>
      <c r="AA109" s="146">
        <v>863</v>
      </c>
      <c r="AC109" s="110">
        <v>0</v>
      </c>
    </row>
    <row r="110" spans="2:29">
      <c r="B110" s="150"/>
      <c r="C110" s="151"/>
      <c r="D110" s="151"/>
      <c r="E110" s="151"/>
      <c r="F110" s="89"/>
      <c r="G110" s="89"/>
      <c r="H110" s="89"/>
      <c r="I110" s="146"/>
      <c r="K110" s="150"/>
      <c r="L110" s="151"/>
      <c r="M110" s="151"/>
      <c r="N110" s="151"/>
      <c r="O110" s="89"/>
      <c r="P110" s="89"/>
      <c r="Q110" s="89"/>
      <c r="R110" s="146"/>
      <c r="T110" s="150">
        <v>864</v>
      </c>
      <c r="U110" s="151">
        <v>865</v>
      </c>
      <c r="V110" s="151">
        <v>866</v>
      </c>
      <c r="W110" s="151">
        <v>867</v>
      </c>
      <c r="X110" s="89">
        <v>868</v>
      </c>
      <c r="Y110" s="89">
        <v>869</v>
      </c>
      <c r="Z110" s="89">
        <v>870</v>
      </c>
      <c r="AA110" s="146">
        <v>871</v>
      </c>
      <c r="AC110" s="110">
        <v>0</v>
      </c>
    </row>
    <row r="111" spans="2:29">
      <c r="B111" s="145"/>
      <c r="C111" s="89"/>
      <c r="D111" s="89"/>
      <c r="E111" s="89"/>
      <c r="F111" s="89"/>
      <c r="G111" s="89"/>
      <c r="H111" s="89"/>
      <c r="I111" s="146"/>
      <c r="K111" s="145"/>
      <c r="L111" s="89"/>
      <c r="M111" s="89"/>
      <c r="N111" s="89"/>
      <c r="O111" s="89"/>
      <c r="P111" s="89"/>
      <c r="Q111" s="89"/>
      <c r="R111" s="146"/>
      <c r="T111" s="145">
        <v>872</v>
      </c>
      <c r="U111" s="89">
        <v>873</v>
      </c>
      <c r="V111" s="89">
        <v>874</v>
      </c>
      <c r="W111" s="89">
        <v>875</v>
      </c>
      <c r="X111" s="89">
        <v>876</v>
      </c>
      <c r="Y111" s="89">
        <v>877</v>
      </c>
      <c r="Z111" s="89">
        <v>878</v>
      </c>
      <c r="AA111" s="146">
        <v>879</v>
      </c>
      <c r="AC111" s="110">
        <v>0</v>
      </c>
    </row>
    <row r="112" spans="2:29">
      <c r="B112" s="150"/>
      <c r="C112" s="151"/>
      <c r="D112" s="151"/>
      <c r="E112" s="151"/>
      <c r="F112" s="89"/>
      <c r="G112" s="89"/>
      <c r="H112" s="89"/>
      <c r="I112" s="146"/>
      <c r="K112" s="150"/>
      <c r="L112" s="151"/>
      <c r="M112" s="151"/>
      <c r="N112" s="151"/>
      <c r="O112" s="89"/>
      <c r="P112" s="89"/>
      <c r="Q112" s="89"/>
      <c r="R112" s="146"/>
      <c r="T112" s="150">
        <v>880</v>
      </c>
      <c r="U112" s="151">
        <v>881</v>
      </c>
      <c r="V112" s="151">
        <v>882</v>
      </c>
      <c r="W112" s="151">
        <v>883</v>
      </c>
      <c r="X112" s="89">
        <v>884</v>
      </c>
      <c r="Y112" s="89">
        <v>885</v>
      </c>
      <c r="Z112" s="89">
        <v>886</v>
      </c>
      <c r="AA112" s="146">
        <v>887</v>
      </c>
      <c r="AC112" s="110">
        <v>0</v>
      </c>
    </row>
    <row r="113" spans="2:29">
      <c r="B113" s="145"/>
      <c r="C113" s="89"/>
      <c r="D113" s="89"/>
      <c r="E113" s="89"/>
      <c r="F113" s="89"/>
      <c r="G113" s="89"/>
      <c r="H113" s="89"/>
      <c r="I113" s="146"/>
      <c r="K113" s="145"/>
      <c r="L113" s="89"/>
      <c r="M113" s="89"/>
      <c r="N113" s="89"/>
      <c r="O113" s="89"/>
      <c r="P113" s="89"/>
      <c r="Q113" s="89"/>
      <c r="R113" s="146"/>
      <c r="T113" s="145">
        <v>888</v>
      </c>
      <c r="U113" s="89">
        <v>889</v>
      </c>
      <c r="V113" s="89">
        <v>890</v>
      </c>
      <c r="W113" s="89">
        <v>891</v>
      </c>
      <c r="X113" s="89">
        <v>892</v>
      </c>
      <c r="Y113" s="89">
        <v>893</v>
      </c>
      <c r="Z113" s="89">
        <v>894</v>
      </c>
      <c r="AA113" s="146">
        <v>895</v>
      </c>
      <c r="AC113" s="110">
        <v>0</v>
      </c>
    </row>
    <row r="114" spans="2:29">
      <c r="B114" s="150"/>
      <c r="C114" s="151"/>
      <c r="D114" s="151"/>
      <c r="E114" s="151"/>
      <c r="F114" s="89"/>
      <c r="G114" s="89"/>
      <c r="H114" s="89"/>
      <c r="I114" s="146"/>
      <c r="K114" s="150"/>
      <c r="L114" s="151"/>
      <c r="M114" s="151"/>
      <c r="N114" s="151"/>
      <c r="O114" s="89"/>
      <c r="P114" s="89"/>
      <c r="Q114" s="89"/>
      <c r="R114" s="146"/>
      <c r="T114" s="150">
        <v>896</v>
      </c>
      <c r="U114" s="151">
        <v>897</v>
      </c>
      <c r="V114" s="151">
        <v>898</v>
      </c>
      <c r="W114" s="151">
        <v>899</v>
      </c>
      <c r="X114" s="89">
        <v>900</v>
      </c>
      <c r="Y114" s="89">
        <v>901</v>
      </c>
      <c r="Z114" s="89">
        <v>902</v>
      </c>
      <c r="AA114" s="146">
        <v>903</v>
      </c>
      <c r="AC114" s="110">
        <v>0</v>
      </c>
    </row>
    <row r="115" spans="2:29" ht="17.25" thickBot="1">
      <c r="B115" s="131"/>
      <c r="C115" s="132"/>
      <c r="D115" s="132"/>
      <c r="E115" s="132"/>
      <c r="F115" s="132"/>
      <c r="G115" s="132"/>
      <c r="H115" s="132"/>
      <c r="I115" s="147"/>
      <c r="K115" s="131"/>
      <c r="L115" s="132"/>
      <c r="M115" s="132"/>
      <c r="N115" s="132"/>
      <c r="O115" s="132"/>
      <c r="P115" s="132"/>
      <c r="Q115" s="132"/>
      <c r="R115" s="147"/>
      <c r="T115" s="145">
        <v>904</v>
      </c>
      <c r="U115" s="89">
        <v>905</v>
      </c>
      <c r="V115" s="89">
        <v>906</v>
      </c>
      <c r="W115" s="89">
        <v>907</v>
      </c>
      <c r="X115" s="89">
        <v>908</v>
      </c>
      <c r="Y115" s="89">
        <v>909</v>
      </c>
      <c r="Z115" s="89">
        <v>910</v>
      </c>
      <c r="AA115" s="146">
        <v>911</v>
      </c>
      <c r="AC115" s="110">
        <v>0</v>
      </c>
    </row>
    <row r="116" spans="2:29" ht="17.25" thickTop="1">
      <c r="T116" s="149"/>
      <c r="U116" s="149"/>
      <c r="V116" s="149"/>
      <c r="W116" s="149"/>
      <c r="X116" s="128"/>
      <c r="Y116" s="128"/>
      <c r="Z116" s="128"/>
      <c r="AA116" s="128"/>
      <c r="AC116" s="162">
        <v>1.8930705891762E-7</v>
      </c>
    </row>
    <row r="117" spans="2:29" ht="17.25" thickBot="1">
      <c r="B117" s="111" t="s">
        <v>254</v>
      </c>
      <c r="T117" s="89"/>
      <c r="U117" s="89"/>
      <c r="V117" s="89"/>
      <c r="W117" s="89"/>
      <c r="X117" s="89"/>
      <c r="Y117" s="89"/>
      <c r="Z117" s="89"/>
      <c r="AA117" s="89"/>
      <c r="AC117" s="162">
        <v>6.5660168502290596E-7</v>
      </c>
    </row>
    <row r="118" spans="2:29" ht="17.25" thickTop="1">
      <c r="B118" s="179" t="s">
        <v>256</v>
      </c>
      <c r="C118" s="180"/>
      <c r="D118" s="180"/>
      <c r="E118" s="180"/>
      <c r="F118" s="180" t="s">
        <v>256</v>
      </c>
      <c r="G118" s="180"/>
      <c r="H118" s="180"/>
      <c r="I118" s="181"/>
      <c r="K118" s="179">
        <v>50463242</v>
      </c>
      <c r="L118" s="180"/>
      <c r="M118" s="180"/>
      <c r="N118" s="180"/>
      <c r="O118" s="180">
        <v>1</v>
      </c>
      <c r="P118" s="180"/>
      <c r="Q118" s="180"/>
      <c r="R118" s="181"/>
      <c r="T118" s="148">
        <v>0</v>
      </c>
      <c r="U118" s="149">
        <v>1</v>
      </c>
      <c r="V118" s="149">
        <v>2</v>
      </c>
      <c r="W118" s="149">
        <v>3</v>
      </c>
      <c r="X118" s="128">
        <v>4</v>
      </c>
      <c r="Y118" s="128">
        <v>5</v>
      </c>
      <c r="Z118" s="128">
        <v>6</v>
      </c>
      <c r="AA118" s="144">
        <v>7</v>
      </c>
      <c r="AC118" s="162">
        <v>1.7293424348232501E-41</v>
      </c>
    </row>
    <row r="119" spans="2:29">
      <c r="B119" s="145"/>
      <c r="C119" s="89"/>
      <c r="D119" s="89"/>
      <c r="E119" s="89"/>
      <c r="F119" s="175" t="s">
        <v>266</v>
      </c>
      <c r="G119" s="175"/>
      <c r="H119" s="175"/>
      <c r="I119" s="176"/>
      <c r="K119" s="145"/>
      <c r="L119" s="89"/>
      <c r="M119" s="89"/>
      <c r="N119" s="89"/>
      <c r="O119" s="175">
        <v>10800</v>
      </c>
      <c r="P119" s="175"/>
      <c r="Q119" s="175"/>
      <c r="R119" s="176"/>
      <c r="T119" s="145">
        <v>8</v>
      </c>
      <c r="U119" s="89">
        <v>9</v>
      </c>
      <c r="V119" s="89">
        <v>10</v>
      </c>
      <c r="W119" s="89">
        <v>11</v>
      </c>
      <c r="X119" s="89">
        <v>12</v>
      </c>
      <c r="Y119" s="89">
        <v>13</v>
      </c>
      <c r="Z119" s="89">
        <v>14</v>
      </c>
      <c r="AA119" s="146">
        <v>15</v>
      </c>
      <c r="AC119" s="110">
        <v>0</v>
      </c>
    </row>
    <row r="120" spans="2:29">
      <c r="B120" s="163" t="s">
        <v>267</v>
      </c>
      <c r="C120" s="164"/>
      <c r="D120" s="164"/>
      <c r="E120" s="164"/>
      <c r="F120" s="164" t="s">
        <v>268</v>
      </c>
      <c r="G120" s="164"/>
      <c r="H120" s="164"/>
      <c r="I120" s="165"/>
      <c r="K120" s="163">
        <v>1</v>
      </c>
      <c r="L120" s="164"/>
      <c r="M120" s="164"/>
      <c r="N120" s="164"/>
      <c r="O120" s="164">
        <v>1</v>
      </c>
      <c r="P120" s="164"/>
      <c r="Q120" s="164"/>
      <c r="R120" s="165"/>
      <c r="T120" s="150">
        <v>16</v>
      </c>
      <c r="U120" s="151">
        <v>17</v>
      </c>
      <c r="V120" s="151">
        <v>18</v>
      </c>
      <c r="W120" s="151">
        <v>19</v>
      </c>
      <c r="X120" s="89">
        <v>20</v>
      </c>
      <c r="Y120" s="89">
        <v>21</v>
      </c>
      <c r="Z120" s="89">
        <v>22</v>
      </c>
      <c r="AA120" s="146">
        <v>23</v>
      </c>
      <c r="AC120" s="110">
        <v>0</v>
      </c>
    </row>
    <row r="121" spans="2:29">
      <c r="B121" s="178" t="s">
        <v>265</v>
      </c>
      <c r="C121" s="175"/>
      <c r="D121" s="175"/>
      <c r="E121" s="175"/>
      <c r="F121" s="89"/>
      <c r="G121" s="89"/>
      <c r="H121" s="89"/>
      <c r="I121" s="146"/>
      <c r="K121" s="178">
        <v>10801</v>
      </c>
      <c r="L121" s="175"/>
      <c r="M121" s="175"/>
      <c r="N121" s="175"/>
      <c r="O121" s="89"/>
      <c r="P121" s="89"/>
      <c r="Q121" s="89"/>
      <c r="R121" s="146"/>
      <c r="T121" s="145">
        <v>24</v>
      </c>
      <c r="U121" s="89">
        <v>25</v>
      </c>
      <c r="V121" s="89">
        <v>26</v>
      </c>
      <c r="W121" s="89">
        <v>27</v>
      </c>
      <c r="X121" s="89">
        <v>28</v>
      </c>
      <c r="Y121" s="89">
        <v>29</v>
      </c>
      <c r="Z121" s="89">
        <v>30</v>
      </c>
      <c r="AA121" s="146">
        <v>31</v>
      </c>
      <c r="AC121" s="110">
        <v>0</v>
      </c>
    </row>
    <row r="122" spans="2:29">
      <c r="B122" s="178" t="s">
        <v>229</v>
      </c>
      <c r="C122" s="175"/>
      <c r="D122" s="175"/>
      <c r="E122" s="175"/>
      <c r="F122" s="178" t="s">
        <v>287</v>
      </c>
      <c r="G122" s="175"/>
      <c r="H122" s="175"/>
      <c r="I122" s="175"/>
      <c r="K122" s="173" t="s">
        <v>255</v>
      </c>
      <c r="L122" s="175"/>
      <c r="M122" s="175"/>
      <c r="N122" s="175"/>
      <c r="O122" s="89"/>
      <c r="P122" s="89"/>
      <c r="Q122" s="89"/>
      <c r="R122" s="146"/>
      <c r="T122" s="150">
        <v>32</v>
      </c>
      <c r="U122" s="151">
        <v>33</v>
      </c>
      <c r="V122" s="151">
        <v>34</v>
      </c>
      <c r="W122" s="151">
        <v>35</v>
      </c>
      <c r="X122" s="89">
        <v>36</v>
      </c>
      <c r="Y122" s="89">
        <v>37</v>
      </c>
      <c r="Z122" s="89">
        <v>38</v>
      </c>
      <c r="AA122" s="146">
        <v>39</v>
      </c>
      <c r="AC122" s="110">
        <v>0</v>
      </c>
    </row>
    <row r="123" spans="2:29">
      <c r="B123" s="178" t="s">
        <v>272</v>
      </c>
      <c r="C123" s="175"/>
      <c r="D123" s="175"/>
      <c r="E123" s="175"/>
      <c r="F123" s="178" t="s">
        <v>275</v>
      </c>
      <c r="G123" s="175"/>
      <c r="H123" s="175"/>
      <c r="I123" s="175"/>
      <c r="K123" s="145"/>
      <c r="L123" s="89"/>
      <c r="M123" s="89"/>
      <c r="N123" s="89"/>
      <c r="O123" s="89"/>
      <c r="P123" s="89"/>
      <c r="Q123" s="89"/>
      <c r="R123" s="146"/>
      <c r="T123" s="145">
        <v>40</v>
      </c>
      <c r="U123" s="89">
        <v>41</v>
      </c>
      <c r="V123" s="89">
        <v>42</v>
      </c>
      <c r="W123" s="89">
        <v>43</v>
      </c>
      <c r="X123" s="89">
        <v>44</v>
      </c>
      <c r="Y123" s="89">
        <v>45</v>
      </c>
      <c r="Z123" s="89">
        <v>46</v>
      </c>
      <c r="AA123" s="146">
        <v>47</v>
      </c>
      <c r="AC123" s="110">
        <v>0</v>
      </c>
    </row>
    <row r="124" spans="2:29">
      <c r="B124" s="178" t="s">
        <v>276</v>
      </c>
      <c r="C124" s="175"/>
      <c r="D124" s="175"/>
      <c r="E124" s="175"/>
      <c r="F124" s="175" t="s">
        <v>278</v>
      </c>
      <c r="G124" s="175"/>
      <c r="H124" s="175"/>
      <c r="I124" s="176"/>
      <c r="K124" s="150"/>
      <c r="L124" s="151"/>
      <c r="M124" s="151"/>
      <c r="N124" s="151"/>
      <c r="O124" s="164">
        <v>10800</v>
      </c>
      <c r="P124" s="164"/>
      <c r="Q124" s="164"/>
      <c r="R124" s="165"/>
      <c r="T124" s="150">
        <v>48</v>
      </c>
      <c r="U124" s="151">
        <v>49</v>
      </c>
      <c r="V124" s="151">
        <v>50</v>
      </c>
      <c r="W124" s="151">
        <v>51</v>
      </c>
      <c r="X124" s="89">
        <v>52</v>
      </c>
      <c r="Y124" s="89">
        <v>53</v>
      </c>
      <c r="Z124" s="89">
        <v>54</v>
      </c>
      <c r="AA124" s="146">
        <v>55</v>
      </c>
      <c r="AC124" s="110">
        <v>0</v>
      </c>
    </row>
    <row r="125" spans="2:29">
      <c r="B125" s="175" t="s">
        <v>279</v>
      </c>
      <c r="C125" s="175"/>
      <c r="D125" s="175"/>
      <c r="E125" s="176"/>
      <c r="F125" s="178" t="s">
        <v>231</v>
      </c>
      <c r="G125" s="175"/>
      <c r="H125" s="175"/>
      <c r="I125" s="176"/>
      <c r="K125" s="163">
        <v>10800</v>
      </c>
      <c r="L125" s="164"/>
      <c r="M125" s="164"/>
      <c r="N125" s="164"/>
      <c r="O125" s="89"/>
      <c r="P125" s="89"/>
      <c r="Q125" s="89"/>
      <c r="R125" s="146"/>
      <c r="T125" s="145">
        <v>56</v>
      </c>
      <c r="U125" s="89">
        <v>57</v>
      </c>
      <c r="V125" s="89">
        <v>58</v>
      </c>
      <c r="W125" s="89">
        <v>59</v>
      </c>
      <c r="X125" s="89">
        <v>60</v>
      </c>
      <c r="Y125" s="89">
        <v>61</v>
      </c>
      <c r="Z125" s="89">
        <v>62</v>
      </c>
      <c r="AA125" s="146">
        <v>63</v>
      </c>
      <c r="AC125" s="110">
        <v>0</v>
      </c>
    </row>
    <row r="126" spans="2:29">
      <c r="B126" s="175" t="s">
        <v>233</v>
      </c>
      <c r="C126" s="175"/>
      <c r="D126" s="175"/>
      <c r="E126" s="176"/>
      <c r="F126" s="89"/>
      <c r="G126" s="89"/>
      <c r="H126" s="89"/>
      <c r="I126" s="146"/>
      <c r="K126" s="174" t="s">
        <v>257</v>
      </c>
      <c r="L126" s="175"/>
      <c r="M126" s="175"/>
      <c r="N126" s="176"/>
      <c r="T126" s="150">
        <v>64</v>
      </c>
      <c r="U126" s="151">
        <v>65</v>
      </c>
      <c r="V126" s="151">
        <v>66</v>
      </c>
      <c r="W126" s="151">
        <v>67</v>
      </c>
      <c r="X126" s="89">
        <v>68</v>
      </c>
      <c r="Y126" s="89">
        <v>69</v>
      </c>
      <c r="Z126" s="89">
        <v>70</v>
      </c>
      <c r="AA126" s="146">
        <v>71</v>
      </c>
      <c r="AC126" s="110">
        <v>0</v>
      </c>
    </row>
    <row r="127" spans="2:29">
      <c r="B127" s="175" t="s">
        <v>234</v>
      </c>
      <c r="C127" s="175"/>
      <c r="D127" s="175"/>
      <c r="E127" s="176"/>
      <c r="F127" s="178" t="s">
        <v>288</v>
      </c>
      <c r="G127" s="175"/>
      <c r="H127" s="175"/>
      <c r="I127" s="176"/>
      <c r="K127" s="145"/>
      <c r="L127" s="89"/>
      <c r="M127" s="89"/>
      <c r="N127" s="89"/>
      <c r="O127" s="89"/>
      <c r="P127" s="89"/>
      <c r="Q127" s="89"/>
      <c r="R127" s="146"/>
      <c r="T127" s="145">
        <v>72</v>
      </c>
      <c r="U127" s="89">
        <v>73</v>
      </c>
      <c r="V127" s="89">
        <v>74</v>
      </c>
      <c r="W127" s="89">
        <v>75</v>
      </c>
      <c r="X127" s="89">
        <v>76</v>
      </c>
      <c r="Y127" s="89">
        <v>77</v>
      </c>
      <c r="Z127" s="89">
        <v>78</v>
      </c>
      <c r="AA127" s="146">
        <v>79</v>
      </c>
      <c r="AC127" s="110">
        <v>0</v>
      </c>
    </row>
    <row r="128" spans="2:29">
      <c r="B128" s="145"/>
      <c r="C128" s="89"/>
      <c r="D128" s="89"/>
      <c r="E128" s="89"/>
      <c r="F128" s="89"/>
      <c r="G128" s="89"/>
      <c r="H128" s="89"/>
      <c r="I128" s="146"/>
      <c r="K128" s="145"/>
      <c r="L128" s="89"/>
      <c r="M128" s="89"/>
      <c r="N128" s="89"/>
      <c r="O128" s="89"/>
      <c r="P128" s="89"/>
      <c r="Q128" s="89"/>
      <c r="R128" s="146"/>
      <c r="T128" s="150">
        <v>80</v>
      </c>
      <c r="U128" s="151">
        <v>81</v>
      </c>
      <c r="V128" s="151">
        <v>82</v>
      </c>
      <c r="W128" s="151">
        <v>83</v>
      </c>
      <c r="X128" s="89">
        <v>84</v>
      </c>
      <c r="Y128" s="89">
        <v>85</v>
      </c>
      <c r="Z128" s="89">
        <v>86</v>
      </c>
      <c r="AA128" s="146">
        <v>87</v>
      </c>
      <c r="AC128" s="110">
        <v>0</v>
      </c>
    </row>
    <row r="129" spans="2:29">
      <c r="B129" s="145"/>
      <c r="C129" s="89"/>
      <c r="D129" s="89"/>
      <c r="E129" s="89"/>
      <c r="F129" s="183" t="s">
        <v>236</v>
      </c>
      <c r="G129" s="183"/>
      <c r="H129" s="183"/>
      <c r="I129" s="184"/>
      <c r="K129" s="145"/>
      <c r="L129" s="89"/>
      <c r="M129" s="89"/>
      <c r="N129" s="89"/>
      <c r="O129" s="89"/>
      <c r="P129" s="89"/>
      <c r="Q129" s="89"/>
      <c r="R129" s="146"/>
      <c r="T129" s="145">
        <v>88</v>
      </c>
      <c r="U129" s="89">
        <v>89</v>
      </c>
      <c r="V129" s="89">
        <v>90</v>
      </c>
      <c r="W129" s="89">
        <v>91</v>
      </c>
      <c r="X129" s="89">
        <v>92</v>
      </c>
      <c r="Y129" s="89">
        <v>93</v>
      </c>
      <c r="Z129" s="89">
        <v>94</v>
      </c>
      <c r="AA129" s="146">
        <v>95</v>
      </c>
      <c r="AC129" s="110">
        <v>0</v>
      </c>
    </row>
    <row r="130" spans="2:29">
      <c r="B130" s="182" t="s">
        <v>238</v>
      </c>
      <c r="C130" s="183"/>
      <c r="D130" s="183"/>
      <c r="E130" s="183"/>
      <c r="F130" s="164" t="s">
        <v>237</v>
      </c>
      <c r="G130" s="164"/>
      <c r="H130" s="164"/>
      <c r="I130" s="165"/>
      <c r="K130" s="150"/>
      <c r="L130" s="151"/>
      <c r="M130" s="151"/>
      <c r="N130" s="151"/>
      <c r="O130" s="89"/>
      <c r="P130" s="89"/>
      <c r="Q130" s="89"/>
      <c r="R130" s="146"/>
      <c r="T130" s="150">
        <v>96</v>
      </c>
      <c r="U130" s="151">
        <v>97</v>
      </c>
      <c r="V130" s="151">
        <v>98</v>
      </c>
      <c r="W130" s="151">
        <v>99</v>
      </c>
      <c r="X130" s="89">
        <v>100</v>
      </c>
      <c r="Y130" s="89">
        <v>101</v>
      </c>
      <c r="Z130" s="89">
        <v>102</v>
      </c>
      <c r="AA130" s="146">
        <v>103</v>
      </c>
      <c r="AC130" s="110">
        <v>0</v>
      </c>
    </row>
    <row r="131" spans="2:29">
      <c r="B131" s="182" t="s">
        <v>239</v>
      </c>
      <c r="C131" s="183"/>
      <c r="D131" s="183"/>
      <c r="E131" s="183"/>
      <c r="F131" s="164" t="s">
        <v>240</v>
      </c>
      <c r="G131" s="164"/>
      <c r="H131" s="164"/>
      <c r="I131" s="165"/>
      <c r="K131" s="145"/>
      <c r="L131" s="89"/>
      <c r="M131" s="89"/>
      <c r="N131" s="89"/>
      <c r="O131" s="89"/>
      <c r="P131" s="89"/>
      <c r="Q131" s="89"/>
      <c r="R131" s="146"/>
      <c r="T131" s="145">
        <v>104</v>
      </c>
      <c r="U131" s="89">
        <v>105</v>
      </c>
      <c r="V131" s="89">
        <v>106</v>
      </c>
      <c r="W131" s="89">
        <v>107</v>
      </c>
      <c r="X131" s="89">
        <v>108</v>
      </c>
      <c r="Y131" s="89">
        <v>109</v>
      </c>
      <c r="Z131" s="89">
        <v>110</v>
      </c>
      <c r="AA131" s="146">
        <v>111</v>
      </c>
      <c r="AC131" s="110">
        <v>0</v>
      </c>
    </row>
    <row r="132" spans="2:29">
      <c r="B132" s="150"/>
      <c r="C132" s="151"/>
      <c r="D132" s="151"/>
      <c r="E132" s="151"/>
      <c r="F132" s="164" t="s">
        <v>256</v>
      </c>
      <c r="G132" s="164"/>
      <c r="H132" s="164"/>
      <c r="I132" s="165"/>
      <c r="K132" s="150"/>
      <c r="L132" s="151"/>
      <c r="M132" s="151"/>
      <c r="N132" s="151"/>
      <c r="O132" s="164">
        <v>65536</v>
      </c>
      <c r="P132" s="164"/>
      <c r="Q132" s="164"/>
      <c r="R132" s="165"/>
      <c r="S132" s="103">
        <v>1</v>
      </c>
      <c r="T132" s="150">
        <v>112</v>
      </c>
      <c r="U132" s="151">
        <v>113</v>
      </c>
      <c r="V132" s="151">
        <v>114</v>
      </c>
      <c r="W132" s="151">
        <v>115</v>
      </c>
      <c r="X132" s="89">
        <v>116</v>
      </c>
      <c r="Y132" s="89">
        <v>117</v>
      </c>
      <c r="Z132" s="89">
        <v>118</v>
      </c>
      <c r="AA132" s="146">
        <v>119</v>
      </c>
      <c r="AC132" s="110">
        <v>0</v>
      </c>
    </row>
    <row r="133" spans="2:29">
      <c r="B133" s="163" t="s">
        <v>260</v>
      </c>
      <c r="C133" s="164"/>
      <c r="D133" s="164"/>
      <c r="E133" s="164"/>
      <c r="F133" s="89"/>
      <c r="G133" s="89"/>
      <c r="H133" s="89"/>
      <c r="I133" s="146"/>
      <c r="K133" s="163">
        <v>25</v>
      </c>
      <c r="L133" s="164"/>
      <c r="M133" s="164"/>
      <c r="N133" s="164"/>
      <c r="O133" s="89"/>
      <c r="P133" s="89"/>
      <c r="Q133" s="89"/>
      <c r="R133" s="146"/>
      <c r="T133" s="145">
        <v>120</v>
      </c>
      <c r="U133" s="89">
        <v>121</v>
      </c>
      <c r="V133" s="89">
        <v>122</v>
      </c>
      <c r="W133" s="89">
        <v>123</v>
      </c>
      <c r="X133" s="89">
        <v>124</v>
      </c>
      <c r="Y133" s="89">
        <v>125</v>
      </c>
      <c r="Z133" s="89">
        <v>126</v>
      </c>
      <c r="AA133" s="146">
        <v>127</v>
      </c>
      <c r="AC133" s="110">
        <v>0</v>
      </c>
    </row>
    <row r="134" spans="2:29">
      <c r="B134" s="150"/>
      <c r="C134" s="151"/>
      <c r="D134" s="151"/>
      <c r="E134" s="151"/>
      <c r="F134" s="89"/>
      <c r="G134" s="89"/>
      <c r="H134" s="89"/>
      <c r="I134" s="146"/>
      <c r="K134" s="150"/>
      <c r="L134" s="151"/>
      <c r="M134" s="151"/>
      <c r="N134" s="151"/>
      <c r="O134" s="89"/>
      <c r="P134" s="89"/>
      <c r="Q134" s="89"/>
      <c r="R134" s="146"/>
      <c r="T134" s="150">
        <v>128</v>
      </c>
      <c r="U134" s="151">
        <v>129</v>
      </c>
      <c r="V134" s="151">
        <v>130</v>
      </c>
      <c r="W134" s="151">
        <v>131</v>
      </c>
      <c r="X134" s="89">
        <v>132</v>
      </c>
      <c r="Y134" s="89">
        <v>133</v>
      </c>
      <c r="Z134" s="89">
        <v>134</v>
      </c>
      <c r="AA134" s="146">
        <v>135</v>
      </c>
      <c r="AC134" s="110">
        <v>0</v>
      </c>
    </row>
    <row r="135" spans="2:29">
      <c r="B135" s="145"/>
      <c r="C135" s="89"/>
      <c r="D135" s="89"/>
      <c r="E135" s="89"/>
      <c r="F135" s="164" t="s">
        <v>256</v>
      </c>
      <c r="G135" s="164"/>
      <c r="H135" s="164"/>
      <c r="I135" s="165"/>
      <c r="K135" s="145"/>
      <c r="L135" s="89"/>
      <c r="M135" s="89"/>
      <c r="N135" s="89"/>
      <c r="O135" s="164">
        <v>64</v>
      </c>
      <c r="P135" s="164"/>
      <c r="Q135" s="164"/>
      <c r="R135" s="165"/>
      <c r="T135" s="145">
        <v>136</v>
      </c>
      <c r="U135" s="89">
        <v>137</v>
      </c>
      <c r="V135" s="89">
        <v>138</v>
      </c>
      <c r="W135" s="89">
        <v>139</v>
      </c>
      <c r="X135" s="89">
        <v>140</v>
      </c>
      <c r="Y135" s="89">
        <v>141</v>
      </c>
      <c r="Z135" s="89">
        <v>142</v>
      </c>
      <c r="AA135" s="146">
        <v>143</v>
      </c>
      <c r="AC135" s="110">
        <v>0</v>
      </c>
    </row>
    <row r="136" spans="2:29">
      <c r="B136" s="150"/>
      <c r="C136" s="151"/>
      <c r="D136" s="151"/>
      <c r="E136" s="151"/>
      <c r="F136" s="89"/>
      <c r="G136" s="89"/>
      <c r="H136" s="89"/>
      <c r="I136" s="146"/>
      <c r="K136" s="150"/>
      <c r="L136" s="151"/>
      <c r="M136" s="151"/>
      <c r="N136" s="151"/>
      <c r="O136" s="89"/>
      <c r="P136" s="89"/>
      <c r="Q136" s="89"/>
      <c r="R136" s="146"/>
      <c r="T136" s="150">
        <v>144</v>
      </c>
      <c r="U136" s="151">
        <v>145</v>
      </c>
      <c r="V136" s="151">
        <v>146</v>
      </c>
      <c r="W136" s="151">
        <v>147</v>
      </c>
      <c r="X136" s="89">
        <v>148</v>
      </c>
      <c r="Y136" s="89">
        <v>149</v>
      </c>
      <c r="Z136" s="89">
        <v>150</v>
      </c>
      <c r="AA136" s="146">
        <v>151</v>
      </c>
      <c r="AC136" s="110">
        <v>0</v>
      </c>
    </row>
    <row r="137" spans="2:29">
      <c r="B137" s="145"/>
      <c r="C137" s="89"/>
      <c r="D137" s="89"/>
      <c r="E137" s="89"/>
      <c r="F137" s="89"/>
      <c r="G137" s="89"/>
      <c r="H137" s="89"/>
      <c r="I137" s="146"/>
      <c r="K137" s="145"/>
      <c r="L137" s="89"/>
      <c r="M137" s="89"/>
      <c r="N137" s="89"/>
      <c r="O137" s="89"/>
      <c r="P137" s="89"/>
      <c r="Q137" s="89"/>
      <c r="R137" s="146"/>
      <c r="T137" s="145">
        <v>152</v>
      </c>
      <c r="U137" s="89">
        <v>153</v>
      </c>
      <c r="V137" s="89">
        <v>154</v>
      </c>
      <c r="W137" s="89">
        <v>155</v>
      </c>
      <c r="X137" s="89">
        <v>156</v>
      </c>
      <c r="Y137" s="89">
        <v>157</v>
      </c>
      <c r="Z137" s="89">
        <v>158</v>
      </c>
      <c r="AA137" s="146">
        <v>159</v>
      </c>
      <c r="AC137" s="110">
        <v>0</v>
      </c>
    </row>
    <row r="138" spans="2:29">
      <c r="B138" s="150"/>
      <c r="C138" s="151"/>
      <c r="D138" s="151"/>
      <c r="E138" s="151"/>
      <c r="F138" s="164" t="s">
        <v>259</v>
      </c>
      <c r="G138" s="164"/>
      <c r="H138" s="164"/>
      <c r="I138" s="165"/>
      <c r="K138" s="150"/>
      <c r="L138" s="151"/>
      <c r="M138" s="151"/>
      <c r="N138" s="151"/>
      <c r="O138" s="169" t="s">
        <v>258</v>
      </c>
      <c r="P138" s="164"/>
      <c r="Q138" s="164"/>
      <c r="R138" s="165"/>
      <c r="T138" s="150">
        <v>160</v>
      </c>
      <c r="U138" s="151">
        <v>161</v>
      </c>
      <c r="V138" s="151">
        <v>162</v>
      </c>
      <c r="W138" s="151">
        <v>163</v>
      </c>
      <c r="X138" s="89">
        <v>164</v>
      </c>
      <c r="Y138" s="89">
        <v>165</v>
      </c>
      <c r="Z138" s="89">
        <v>166</v>
      </c>
      <c r="AA138" s="146">
        <v>167</v>
      </c>
      <c r="AC138" s="110">
        <v>0</v>
      </c>
    </row>
    <row r="139" spans="2:29">
      <c r="B139" s="163" t="s">
        <v>262</v>
      </c>
      <c r="C139" s="164"/>
      <c r="D139" s="164"/>
      <c r="E139" s="164"/>
      <c r="F139" s="164" t="s">
        <v>263</v>
      </c>
      <c r="G139" s="164"/>
      <c r="H139" s="164"/>
      <c r="I139" s="165"/>
      <c r="K139" s="170" t="s">
        <v>261</v>
      </c>
      <c r="L139" s="164"/>
      <c r="M139" s="164"/>
      <c r="N139" s="164"/>
      <c r="O139" s="169" t="s">
        <v>264</v>
      </c>
      <c r="P139" s="169"/>
      <c r="Q139" s="169"/>
      <c r="R139" s="171"/>
      <c r="T139" s="145">
        <v>168</v>
      </c>
      <c r="U139" s="89">
        <v>169</v>
      </c>
      <c r="V139" s="89">
        <v>170</v>
      </c>
      <c r="W139" s="89">
        <v>171</v>
      </c>
      <c r="X139" s="89">
        <v>172</v>
      </c>
      <c r="Y139" s="89">
        <v>173</v>
      </c>
      <c r="Z139" s="89">
        <v>174</v>
      </c>
      <c r="AA139" s="146">
        <v>175</v>
      </c>
      <c r="AC139" s="110">
        <v>0</v>
      </c>
    </row>
    <row r="140" spans="2:29">
      <c r="B140" s="163" t="s">
        <v>192</v>
      </c>
      <c r="C140" s="164"/>
      <c r="D140" s="164"/>
      <c r="E140" s="164"/>
      <c r="F140" s="164" t="s">
        <v>192</v>
      </c>
      <c r="G140" s="164"/>
      <c r="H140" s="164"/>
      <c r="I140" s="165"/>
      <c r="K140" s="163"/>
      <c r="L140" s="164"/>
      <c r="M140" s="164"/>
      <c r="N140" s="164"/>
      <c r="O140" s="164">
        <v>25</v>
      </c>
      <c r="P140" s="164"/>
      <c r="Q140" s="164"/>
      <c r="R140" s="165"/>
      <c r="T140" s="150">
        <v>176</v>
      </c>
      <c r="U140" s="151">
        <v>177</v>
      </c>
      <c r="V140" s="151">
        <v>178</v>
      </c>
      <c r="W140" s="151">
        <v>179</v>
      </c>
      <c r="X140" s="89">
        <v>180</v>
      </c>
      <c r="Y140" s="89">
        <v>181</v>
      </c>
      <c r="Z140" s="89">
        <v>182</v>
      </c>
      <c r="AA140" s="146">
        <v>183</v>
      </c>
      <c r="AC140" s="110">
        <v>0</v>
      </c>
    </row>
    <row r="141" spans="2:29">
      <c r="B141" s="163">
        <v>999</v>
      </c>
      <c r="C141" s="164"/>
      <c r="D141" s="164"/>
      <c r="E141" s="164"/>
      <c r="F141" s="164">
        <v>999</v>
      </c>
      <c r="G141" s="164"/>
      <c r="H141" s="164"/>
      <c r="I141" s="165"/>
      <c r="K141" s="163">
        <v>999</v>
      </c>
      <c r="L141" s="164"/>
      <c r="M141" s="164"/>
      <c r="N141" s="164"/>
      <c r="O141" s="164">
        <v>999</v>
      </c>
      <c r="P141" s="164"/>
      <c r="Q141" s="164"/>
      <c r="R141" s="165"/>
      <c r="T141" s="145">
        <v>184</v>
      </c>
      <c r="U141" s="89">
        <v>185</v>
      </c>
      <c r="V141" s="89">
        <v>186</v>
      </c>
      <c r="W141" s="89">
        <v>187</v>
      </c>
      <c r="X141" s="89">
        <v>188</v>
      </c>
      <c r="Y141" s="89">
        <v>189</v>
      </c>
      <c r="Z141" s="89">
        <v>190</v>
      </c>
      <c r="AA141" s="146">
        <v>191</v>
      </c>
      <c r="AC141" s="110">
        <v>0</v>
      </c>
    </row>
    <row r="142" spans="2:29" ht="17.25" thickBot="1">
      <c r="B142" s="166">
        <v>999</v>
      </c>
      <c r="C142" s="167"/>
      <c r="D142" s="167"/>
      <c r="E142" s="167"/>
      <c r="F142" s="167">
        <v>999</v>
      </c>
      <c r="G142" s="167"/>
      <c r="H142" s="167"/>
      <c r="I142" s="168"/>
      <c r="K142" s="166">
        <v>999</v>
      </c>
      <c r="L142" s="167"/>
      <c r="M142" s="167"/>
      <c r="N142" s="167"/>
      <c r="O142" s="167">
        <v>999</v>
      </c>
      <c r="P142" s="167"/>
      <c r="Q142" s="167"/>
      <c r="R142" s="168"/>
      <c r="T142" s="152">
        <v>192</v>
      </c>
      <c r="U142" s="153">
        <v>193</v>
      </c>
      <c r="V142" s="153">
        <v>194</v>
      </c>
      <c r="W142" s="153">
        <v>195</v>
      </c>
      <c r="X142" s="132">
        <v>196</v>
      </c>
      <c r="Y142" s="132">
        <v>197</v>
      </c>
      <c r="Z142" s="132">
        <v>198</v>
      </c>
      <c r="AA142" s="147">
        <v>199</v>
      </c>
      <c r="AC142" s="110">
        <v>0</v>
      </c>
    </row>
    <row r="143" spans="2:29" ht="18" thickTop="1" thickBot="1">
      <c r="T143" s="89"/>
      <c r="U143" s="89"/>
      <c r="V143" s="89"/>
      <c r="W143" s="89"/>
      <c r="X143" s="89"/>
      <c r="Y143" s="89"/>
      <c r="Z143" s="89"/>
      <c r="AA143" s="89"/>
      <c r="AC143" s="110">
        <v>0</v>
      </c>
    </row>
    <row r="144" spans="2:29" ht="17.25" thickTop="1">
      <c r="K144" s="179">
        <v>16909578</v>
      </c>
      <c r="L144" s="180"/>
      <c r="M144" s="180"/>
      <c r="N144" s="180"/>
      <c r="O144" s="180">
        <v>16777217</v>
      </c>
      <c r="P144" s="180"/>
      <c r="Q144" s="180"/>
      <c r="R144" s="181"/>
      <c r="T144" s="151">
        <v>0</v>
      </c>
      <c r="U144" s="151">
        <v>1</v>
      </c>
      <c r="V144" s="151"/>
      <c r="W144" s="151"/>
      <c r="X144" s="89"/>
      <c r="Y144" s="89"/>
      <c r="Z144" s="89"/>
      <c r="AA144" s="89"/>
      <c r="AC144" s="110">
        <v>0</v>
      </c>
    </row>
    <row r="145" spans="11:29">
      <c r="K145" s="163">
        <v>10801</v>
      </c>
      <c r="L145" s="164"/>
      <c r="M145" s="164"/>
      <c r="N145" s="164"/>
      <c r="O145" s="175">
        <v>20373</v>
      </c>
      <c r="P145" s="175"/>
      <c r="Q145" s="175"/>
      <c r="R145" s="176"/>
      <c r="T145" s="156">
        <v>2</v>
      </c>
      <c r="U145" s="156">
        <v>3</v>
      </c>
      <c r="V145" s="89"/>
      <c r="W145" s="89"/>
      <c r="X145" s="89"/>
      <c r="Y145" s="89"/>
      <c r="Z145" s="89"/>
      <c r="AA145" s="89"/>
      <c r="AC145" s="110">
        <v>0</v>
      </c>
    </row>
    <row r="146" spans="11:29">
      <c r="K146" s="163">
        <v>1</v>
      </c>
      <c r="L146" s="164"/>
      <c r="M146" s="164"/>
      <c r="N146" s="164"/>
      <c r="O146" s="164">
        <v>2</v>
      </c>
      <c r="P146" s="164"/>
      <c r="Q146" s="164"/>
      <c r="R146" s="165"/>
      <c r="T146" s="151">
        <v>4</v>
      </c>
      <c r="U146" s="151">
        <v>5</v>
      </c>
      <c r="V146" s="151"/>
      <c r="W146" s="151"/>
      <c r="X146" s="89"/>
      <c r="Y146" s="89"/>
      <c r="Z146" s="89"/>
      <c r="AA146" s="124" t="s">
        <v>289</v>
      </c>
      <c r="AC146" s="110">
        <v>0</v>
      </c>
    </row>
    <row r="147" spans="11:29">
      <c r="K147" s="178">
        <v>20374</v>
      </c>
      <c r="L147" s="175"/>
      <c r="M147" s="175"/>
      <c r="N147" s="175"/>
      <c r="O147" s="89"/>
      <c r="P147" s="89"/>
      <c r="Q147" s="89"/>
      <c r="R147" s="146"/>
      <c r="T147" s="156">
        <v>6</v>
      </c>
      <c r="U147" s="156">
        <v>7</v>
      </c>
      <c r="V147" s="89"/>
      <c r="W147" s="89"/>
      <c r="X147" s="89"/>
      <c r="Y147" s="89"/>
      <c r="Z147" s="89"/>
      <c r="AA147" s="124" t="s">
        <v>291</v>
      </c>
      <c r="AB147" s="124" t="s">
        <v>289</v>
      </c>
      <c r="AC147" s="110">
        <v>0</v>
      </c>
    </row>
    <row r="148" spans="11:29">
      <c r="K148" s="173" t="s">
        <v>270</v>
      </c>
      <c r="L148" s="175"/>
      <c r="M148" s="175"/>
      <c r="N148" s="175"/>
      <c r="O148" s="173" t="s">
        <v>271</v>
      </c>
      <c r="P148" s="175"/>
      <c r="Q148" s="175"/>
      <c r="R148" s="175"/>
      <c r="T148" s="151">
        <v>8</v>
      </c>
      <c r="U148" s="151">
        <v>9</v>
      </c>
      <c r="V148" s="151"/>
      <c r="W148" s="151"/>
      <c r="X148" s="89"/>
      <c r="Y148" s="89"/>
      <c r="Z148" s="89"/>
      <c r="AA148" s="124" t="s">
        <v>289</v>
      </c>
      <c r="AB148" s="124" t="s">
        <v>291</v>
      </c>
      <c r="AC148" s="110">
        <v>0</v>
      </c>
    </row>
    <row r="149" spans="11:29">
      <c r="K149" s="173" t="s">
        <v>273</v>
      </c>
      <c r="L149" s="175"/>
      <c r="M149" s="175"/>
      <c r="N149" s="175"/>
      <c r="O149" s="174" t="s">
        <v>274</v>
      </c>
      <c r="P149" s="174"/>
      <c r="Q149" s="174"/>
      <c r="R149" s="177"/>
      <c r="T149" s="156">
        <v>10</v>
      </c>
      <c r="U149" s="156">
        <v>11</v>
      </c>
      <c r="V149" s="89"/>
      <c r="W149" s="89"/>
      <c r="X149" s="89"/>
      <c r="Y149" s="89"/>
      <c r="Z149" s="89"/>
      <c r="AA149" s="124" t="s">
        <v>292</v>
      </c>
      <c r="AB149" s="124" t="s">
        <v>289</v>
      </c>
      <c r="AC149" s="110">
        <v>0</v>
      </c>
    </row>
    <row r="150" spans="11:29">
      <c r="K150" s="173" t="s">
        <v>277</v>
      </c>
      <c r="L150" s="174"/>
      <c r="M150" s="174"/>
      <c r="N150" s="174"/>
      <c r="O150" s="174" t="s">
        <v>280</v>
      </c>
      <c r="P150" s="175"/>
      <c r="Q150" s="175"/>
      <c r="R150" s="176"/>
      <c r="T150" s="151">
        <v>12</v>
      </c>
      <c r="U150" s="151">
        <v>13</v>
      </c>
      <c r="V150" s="151"/>
      <c r="W150" s="151"/>
      <c r="X150" s="89"/>
      <c r="Y150" s="89"/>
      <c r="Z150" s="89"/>
      <c r="AA150" s="124" t="s">
        <v>289</v>
      </c>
      <c r="AB150" s="124" t="s">
        <v>292</v>
      </c>
      <c r="AC150" s="110">
        <v>0</v>
      </c>
    </row>
    <row r="151" spans="11:29">
      <c r="K151" s="173" t="s">
        <v>281</v>
      </c>
      <c r="L151" s="175"/>
      <c r="M151" s="175"/>
      <c r="N151" s="175"/>
      <c r="O151" s="174" t="s">
        <v>282</v>
      </c>
      <c r="P151" s="174"/>
      <c r="Q151" s="174"/>
      <c r="R151" s="177"/>
      <c r="T151" s="156">
        <v>14</v>
      </c>
      <c r="U151" s="156">
        <v>15</v>
      </c>
      <c r="V151" s="89"/>
      <c r="W151" s="89"/>
      <c r="X151" s="89"/>
      <c r="Y151" s="89"/>
      <c r="Z151" s="89"/>
      <c r="AA151" s="124" t="s">
        <v>291</v>
      </c>
      <c r="AB151" s="124" t="s">
        <v>289</v>
      </c>
      <c r="AC151" s="110">
        <v>0</v>
      </c>
    </row>
    <row r="152" spans="11:29">
      <c r="K152" s="174" t="s">
        <v>283</v>
      </c>
      <c r="L152" s="175"/>
      <c r="M152" s="175"/>
      <c r="N152" s="176"/>
      <c r="T152" s="151">
        <v>16</v>
      </c>
      <c r="U152" s="151">
        <v>17</v>
      </c>
      <c r="V152" s="151"/>
      <c r="W152" s="151"/>
      <c r="X152" s="89" t="s">
        <v>313</v>
      </c>
      <c r="Y152" s="89"/>
      <c r="Z152" s="89"/>
      <c r="AA152" s="124" t="s">
        <v>289</v>
      </c>
      <c r="AB152" s="124" t="s">
        <v>291</v>
      </c>
      <c r="AC152" s="110">
        <v>0</v>
      </c>
    </row>
    <row r="153" spans="11:29">
      <c r="K153" s="173" t="s">
        <v>284</v>
      </c>
      <c r="L153" s="174"/>
      <c r="M153" s="174"/>
      <c r="N153" s="174"/>
      <c r="O153" s="174" t="s">
        <v>286</v>
      </c>
      <c r="P153" s="174"/>
      <c r="Q153" s="174"/>
      <c r="R153" s="177"/>
      <c r="T153" s="156">
        <v>18</v>
      </c>
      <c r="U153" s="156">
        <v>19</v>
      </c>
      <c r="V153" s="89"/>
      <c r="W153" s="89"/>
      <c r="X153" s="89" t="s">
        <v>312</v>
      </c>
      <c r="Y153" s="89"/>
      <c r="Z153" s="89"/>
      <c r="AA153" s="124" t="s">
        <v>292</v>
      </c>
      <c r="AB153" s="124" t="s">
        <v>289</v>
      </c>
      <c r="AC153" s="110">
        <v>0</v>
      </c>
    </row>
    <row r="154" spans="11:29">
      <c r="K154" s="163"/>
      <c r="L154" s="164"/>
      <c r="M154" s="164"/>
      <c r="N154" s="164"/>
      <c r="O154" s="89"/>
      <c r="P154" s="89"/>
      <c r="Q154" s="89"/>
      <c r="R154" s="146"/>
      <c r="T154" s="151">
        <v>20</v>
      </c>
      <c r="U154" s="151">
        <v>21</v>
      </c>
      <c r="V154" s="151"/>
      <c r="W154" s="151"/>
      <c r="X154" s="89">
        <f>LEN(X152)</f>
        <v>50</v>
      </c>
      <c r="Y154" s="89"/>
      <c r="Z154" s="89"/>
      <c r="AA154" s="124" t="s">
        <v>289</v>
      </c>
      <c r="AB154" s="124" t="s">
        <v>292</v>
      </c>
      <c r="AC154" s="110">
        <v>0</v>
      </c>
    </row>
    <row r="155" spans="11:29">
      <c r="K155" s="145"/>
      <c r="L155" s="89"/>
      <c r="M155" s="89"/>
      <c r="N155" s="89"/>
      <c r="O155" s="89"/>
      <c r="P155" s="89"/>
      <c r="Q155" s="89"/>
      <c r="R155" s="146"/>
      <c r="T155" s="156">
        <v>22</v>
      </c>
      <c r="U155" s="156">
        <v>23</v>
      </c>
      <c r="V155" s="89"/>
      <c r="W155" s="89"/>
      <c r="X155" s="89"/>
      <c r="Y155" s="89"/>
      <c r="Z155" s="89"/>
      <c r="AA155" s="124" t="s">
        <v>291</v>
      </c>
      <c r="AB155" s="124" t="s">
        <v>289</v>
      </c>
      <c r="AC155" s="110">
        <v>0</v>
      </c>
    </row>
    <row r="156" spans="11:29">
      <c r="K156" s="150"/>
      <c r="L156" s="151"/>
      <c r="M156" s="151"/>
      <c r="N156" s="151"/>
      <c r="O156" s="89"/>
      <c r="P156" s="89"/>
      <c r="Q156" s="89"/>
      <c r="R156" s="146"/>
      <c r="T156" s="151">
        <v>24</v>
      </c>
      <c r="U156" s="151">
        <v>25</v>
      </c>
      <c r="V156" s="151"/>
      <c r="W156" s="151"/>
      <c r="X156" s="89"/>
      <c r="Y156" s="89"/>
      <c r="Z156" s="89"/>
      <c r="AA156" s="124" t="s">
        <v>289</v>
      </c>
      <c r="AB156" s="124" t="s">
        <v>291</v>
      </c>
      <c r="AC156" s="110">
        <v>0</v>
      </c>
    </row>
    <row r="157" spans="11:29">
      <c r="K157" s="145"/>
      <c r="L157" s="89"/>
      <c r="M157" s="89"/>
      <c r="N157" s="89"/>
      <c r="O157" s="89"/>
      <c r="P157" s="89"/>
      <c r="Q157" s="89"/>
      <c r="R157" s="146"/>
      <c r="T157" s="156">
        <v>26</v>
      </c>
      <c r="U157" s="156">
        <v>27</v>
      </c>
      <c r="V157" s="89"/>
      <c r="W157" s="89"/>
      <c r="X157" s="89"/>
      <c r="Y157" s="89"/>
      <c r="Z157" s="89"/>
      <c r="AA157" s="124" t="s">
        <v>292</v>
      </c>
      <c r="AB157" s="124" t="s">
        <v>289</v>
      </c>
      <c r="AC157" s="110">
        <v>0</v>
      </c>
    </row>
    <row r="158" spans="11:29">
      <c r="K158" s="150"/>
      <c r="L158" s="151"/>
      <c r="M158" s="151"/>
      <c r="N158" s="151"/>
      <c r="O158" s="164">
        <v>131072</v>
      </c>
      <c r="P158" s="164"/>
      <c r="Q158" s="164"/>
      <c r="R158" s="165"/>
      <c r="S158" s="103">
        <v>2</v>
      </c>
      <c r="T158" s="151">
        <v>28</v>
      </c>
      <c r="U158" s="151">
        <v>29</v>
      </c>
      <c r="V158" s="151"/>
      <c r="W158" s="151"/>
      <c r="X158" s="89"/>
      <c r="Y158" s="89"/>
      <c r="Z158" s="89"/>
      <c r="AA158" s="124" t="s">
        <v>289</v>
      </c>
      <c r="AB158" s="124" t="s">
        <v>292</v>
      </c>
      <c r="AC158" s="110">
        <v>0</v>
      </c>
    </row>
    <row r="159" spans="11:29">
      <c r="K159" s="163">
        <v>25</v>
      </c>
      <c r="L159" s="164"/>
      <c r="M159" s="164"/>
      <c r="N159" s="164"/>
      <c r="O159" s="89"/>
      <c r="P159" s="89"/>
      <c r="Q159" s="89"/>
      <c r="R159" s="146"/>
      <c r="T159" s="156">
        <v>30</v>
      </c>
      <c r="U159" s="156">
        <v>31</v>
      </c>
      <c r="V159" s="89"/>
      <c r="W159" s="89"/>
      <c r="X159" s="89"/>
      <c r="Y159" s="89"/>
      <c r="Z159" s="89"/>
      <c r="AA159" s="124" t="s">
        <v>291</v>
      </c>
      <c r="AB159" s="124" t="s">
        <v>289</v>
      </c>
      <c r="AC159" s="110">
        <v>0</v>
      </c>
    </row>
    <row r="160" spans="11:29">
      <c r="K160" s="150"/>
      <c r="L160" s="151"/>
      <c r="M160" s="151"/>
      <c r="N160" s="151"/>
      <c r="O160" s="89"/>
      <c r="P160" s="89"/>
      <c r="Q160" s="89"/>
      <c r="R160" s="146"/>
      <c r="T160" s="151">
        <v>32</v>
      </c>
      <c r="U160" s="151">
        <v>33</v>
      </c>
      <c r="V160" s="151"/>
      <c r="W160" s="151"/>
      <c r="X160" s="89"/>
      <c r="Y160" s="89"/>
      <c r="Z160" s="89"/>
      <c r="AA160" s="124" t="s">
        <v>289</v>
      </c>
      <c r="AB160" s="124" t="s">
        <v>291</v>
      </c>
      <c r="AC160" s="110">
        <v>0</v>
      </c>
    </row>
    <row r="161" spans="2:29">
      <c r="K161" s="145"/>
      <c r="L161" s="89"/>
      <c r="M161" s="89"/>
      <c r="N161" s="89"/>
      <c r="O161" s="164">
        <v>131072</v>
      </c>
      <c r="P161" s="164"/>
      <c r="Q161" s="164"/>
      <c r="R161" s="165"/>
      <c r="T161" s="156">
        <v>34</v>
      </c>
      <c r="U161" s="156">
        <v>35</v>
      </c>
      <c r="V161" s="89"/>
      <c r="W161" s="89"/>
      <c r="X161" s="89"/>
      <c r="Y161" s="89"/>
      <c r="Z161" s="89"/>
      <c r="AA161" s="124" t="s">
        <v>292</v>
      </c>
      <c r="AB161" s="124" t="s">
        <v>289</v>
      </c>
      <c r="AC161" s="110">
        <v>0</v>
      </c>
    </row>
    <row r="162" spans="2:29">
      <c r="K162" s="150"/>
      <c r="L162" s="151"/>
      <c r="M162" s="151"/>
      <c r="N162" s="151"/>
      <c r="O162" s="89"/>
      <c r="P162" s="89"/>
      <c r="Q162" s="89"/>
      <c r="R162" s="146"/>
      <c r="T162" s="151">
        <v>36</v>
      </c>
      <c r="U162" s="151">
        <v>37</v>
      </c>
      <c r="V162" s="151"/>
      <c r="W162" s="151"/>
      <c r="X162" s="89"/>
      <c r="Y162" s="89"/>
      <c r="Z162" s="89"/>
      <c r="AA162" s="124" t="s">
        <v>289</v>
      </c>
      <c r="AB162" s="124" t="s">
        <v>292</v>
      </c>
      <c r="AC162" s="110">
        <v>0</v>
      </c>
    </row>
    <row r="163" spans="2:29">
      <c r="K163" s="145"/>
      <c r="L163" s="89"/>
      <c r="M163" s="89"/>
      <c r="N163" s="89"/>
      <c r="O163" s="89"/>
      <c r="P163" s="89"/>
      <c r="Q163" s="89"/>
      <c r="R163" s="146"/>
      <c r="T163" s="156">
        <v>38</v>
      </c>
      <c r="U163" s="156">
        <v>39</v>
      </c>
      <c r="V163" s="89"/>
      <c r="W163" s="89"/>
      <c r="X163" s="89"/>
      <c r="Y163" s="89"/>
      <c r="Z163" s="89"/>
      <c r="AA163" s="124"/>
      <c r="AB163" s="124" t="s">
        <v>289</v>
      </c>
      <c r="AC163" s="110">
        <v>0</v>
      </c>
    </row>
    <row r="164" spans="2:29">
      <c r="K164" s="150"/>
      <c r="L164" s="151"/>
      <c r="M164" s="151"/>
      <c r="N164" s="151"/>
      <c r="O164" s="169" t="s">
        <v>258</v>
      </c>
      <c r="P164" s="164"/>
      <c r="Q164" s="164"/>
      <c r="R164" s="165"/>
      <c r="T164" s="151">
        <v>40</v>
      </c>
      <c r="U164" s="151">
        <v>41</v>
      </c>
      <c r="V164" s="151"/>
      <c r="W164" s="151"/>
      <c r="X164" s="89"/>
      <c r="Y164" s="89"/>
      <c r="Z164" s="89"/>
      <c r="AA164" s="124"/>
      <c r="AB164" s="124" t="s">
        <v>294</v>
      </c>
      <c r="AC164" s="110">
        <v>0</v>
      </c>
    </row>
    <row r="165" spans="2:29">
      <c r="K165" s="170" t="s">
        <v>261</v>
      </c>
      <c r="L165" s="164"/>
      <c r="M165" s="164"/>
      <c r="N165" s="164"/>
      <c r="O165" s="169" t="s">
        <v>264</v>
      </c>
      <c r="P165" s="169"/>
      <c r="Q165" s="169"/>
      <c r="R165" s="171"/>
      <c r="T165" s="156">
        <v>42</v>
      </c>
      <c r="U165" s="156">
        <v>43</v>
      </c>
      <c r="V165" s="89"/>
      <c r="W165" s="89"/>
      <c r="X165" s="89"/>
      <c r="Y165" s="89"/>
      <c r="Z165" s="89"/>
      <c r="AA165" s="124"/>
      <c r="AB165" s="124" t="s">
        <v>294</v>
      </c>
      <c r="AC165" s="110">
        <v>0</v>
      </c>
    </row>
    <row r="166" spans="2:29">
      <c r="K166" s="163"/>
      <c r="L166" s="164"/>
      <c r="M166" s="164"/>
      <c r="N166" s="164"/>
      <c r="O166" s="164">
        <v>25</v>
      </c>
      <c r="P166" s="164"/>
      <c r="Q166" s="164"/>
      <c r="R166" s="165"/>
      <c r="T166" s="151">
        <v>44</v>
      </c>
      <c r="U166" s="151">
        <v>45</v>
      </c>
      <c r="V166" s="151"/>
      <c r="W166" s="151"/>
      <c r="X166" s="89"/>
      <c r="Y166" s="89"/>
      <c r="Z166" s="89"/>
      <c r="AA166" s="124"/>
      <c r="AB166" s="124" t="s">
        <v>292</v>
      </c>
      <c r="AC166" s="110">
        <v>0</v>
      </c>
    </row>
    <row r="167" spans="2:29">
      <c r="K167" s="163">
        <v>999</v>
      </c>
      <c r="L167" s="164"/>
      <c r="M167" s="164"/>
      <c r="N167" s="164"/>
      <c r="O167" s="164">
        <v>999</v>
      </c>
      <c r="P167" s="164"/>
      <c r="Q167" s="164"/>
      <c r="R167" s="165"/>
      <c r="T167" s="156">
        <v>46</v>
      </c>
      <c r="U167" s="156">
        <v>47</v>
      </c>
      <c r="V167" s="89"/>
      <c r="W167" s="89"/>
      <c r="X167" s="89"/>
      <c r="Y167" s="89"/>
      <c r="Z167" s="89"/>
      <c r="AA167" s="124"/>
      <c r="AB167" s="124" t="s">
        <v>289</v>
      </c>
      <c r="AC167" s="110">
        <v>0</v>
      </c>
    </row>
    <row r="168" spans="2:29" ht="17.25" thickBot="1">
      <c r="K168" s="166">
        <v>999</v>
      </c>
      <c r="L168" s="167"/>
      <c r="M168" s="167"/>
      <c r="N168" s="167"/>
      <c r="O168" s="167">
        <v>999</v>
      </c>
      <c r="P168" s="167"/>
      <c r="Q168" s="167"/>
      <c r="R168" s="168"/>
      <c r="T168" s="151">
        <v>48</v>
      </c>
      <c r="U168" s="151">
        <v>49</v>
      </c>
      <c r="V168" s="151"/>
      <c r="W168" s="151"/>
      <c r="X168" s="89"/>
      <c r="Y168" s="89"/>
      <c r="Z168" s="89"/>
      <c r="AA168" s="124"/>
      <c r="AB168" s="124" t="s">
        <v>291</v>
      </c>
      <c r="AC168" s="110">
        <v>0</v>
      </c>
    </row>
    <row r="169" spans="2:29" ht="18" thickTop="1" thickBot="1">
      <c r="T169" s="89"/>
      <c r="U169" s="89"/>
      <c r="V169" s="89"/>
      <c r="W169" s="89"/>
      <c r="X169" s="89"/>
      <c r="Y169" s="89"/>
      <c r="Z169" s="89"/>
      <c r="AA169" s="124"/>
      <c r="AB169" s="124" t="s">
        <v>289</v>
      </c>
      <c r="AC169" s="110">
        <v>0</v>
      </c>
    </row>
    <row r="170" spans="2:29" ht="17.25" thickTop="1">
      <c r="B170" s="179" t="s">
        <v>256</v>
      </c>
      <c r="C170" s="180"/>
      <c r="D170" s="180"/>
      <c r="E170" s="180"/>
      <c r="F170" s="180" t="s">
        <v>256</v>
      </c>
      <c r="G170" s="180"/>
      <c r="H170" s="180"/>
      <c r="I170" s="181"/>
      <c r="K170" s="179">
        <v>50464266</v>
      </c>
      <c r="L170" s="180"/>
      <c r="M170" s="180"/>
      <c r="N170" s="180"/>
      <c r="O170" s="180">
        <v>1</v>
      </c>
      <c r="P170" s="180"/>
      <c r="Q170" s="180"/>
      <c r="R170" s="181"/>
      <c r="T170" s="151">
        <v>0</v>
      </c>
      <c r="U170" s="151">
        <v>1</v>
      </c>
      <c r="V170" s="151"/>
      <c r="W170" s="151"/>
      <c r="X170" s="89"/>
      <c r="Y170" s="89"/>
      <c r="Z170" s="89"/>
      <c r="AA170" s="124"/>
      <c r="AB170" s="124" t="s">
        <v>292</v>
      </c>
      <c r="AC170" s="110">
        <v>0</v>
      </c>
    </row>
    <row r="171" spans="2:29">
      <c r="B171" s="145"/>
      <c r="C171" s="89"/>
      <c r="D171" s="89"/>
      <c r="E171" s="89"/>
      <c r="F171" s="175" t="s">
        <v>266</v>
      </c>
      <c r="G171" s="175"/>
      <c r="H171" s="175"/>
      <c r="I171" s="176"/>
      <c r="K171" s="163">
        <v>20374</v>
      </c>
      <c r="L171" s="164"/>
      <c r="M171" s="164"/>
      <c r="N171" s="164"/>
      <c r="O171" s="175">
        <v>31207</v>
      </c>
      <c r="P171" s="175"/>
      <c r="Q171" s="175"/>
      <c r="R171" s="176"/>
      <c r="T171" s="156">
        <v>2</v>
      </c>
      <c r="U171" s="156">
        <v>3</v>
      </c>
      <c r="V171" s="89"/>
      <c r="W171" s="89"/>
      <c r="X171" s="89"/>
      <c r="Y171" s="89"/>
      <c r="Z171" s="89"/>
      <c r="AA171" s="124"/>
      <c r="AB171" s="124" t="s">
        <v>289</v>
      </c>
      <c r="AC171" s="110">
        <v>0</v>
      </c>
    </row>
    <row r="172" spans="2:29">
      <c r="B172" s="163" t="s">
        <v>267</v>
      </c>
      <c r="C172" s="164"/>
      <c r="D172" s="164"/>
      <c r="E172" s="164"/>
      <c r="F172" s="164" t="s">
        <v>268</v>
      </c>
      <c r="G172" s="164"/>
      <c r="H172" s="164"/>
      <c r="I172" s="165"/>
      <c r="K172" s="163">
        <v>1</v>
      </c>
      <c r="L172" s="164"/>
      <c r="M172" s="164"/>
      <c r="N172" s="164"/>
      <c r="O172" s="164">
        <v>2</v>
      </c>
      <c r="P172" s="164"/>
      <c r="Q172" s="164"/>
      <c r="R172" s="165"/>
      <c r="T172" s="151">
        <v>4</v>
      </c>
      <c r="U172" s="151">
        <v>5</v>
      </c>
      <c r="V172" s="151"/>
      <c r="W172" s="151"/>
      <c r="X172" s="89"/>
      <c r="Y172" s="89"/>
      <c r="Z172" s="89"/>
      <c r="AA172" s="124"/>
      <c r="AB172" s="124" t="s">
        <v>291</v>
      </c>
      <c r="AC172" s="162">
        <v>1.1215542383702299E-11</v>
      </c>
    </row>
    <row r="173" spans="2:29">
      <c r="B173" s="178" t="s">
        <v>265</v>
      </c>
      <c r="C173" s="175"/>
      <c r="D173" s="175"/>
      <c r="E173" s="175"/>
      <c r="F173" s="89"/>
      <c r="G173" s="89"/>
      <c r="H173" s="89"/>
      <c r="I173" s="146"/>
      <c r="K173" s="178">
        <v>31208</v>
      </c>
      <c r="L173" s="175"/>
      <c r="M173" s="175"/>
      <c r="N173" s="175"/>
      <c r="O173" s="89"/>
      <c r="P173" s="89"/>
      <c r="Q173" s="89"/>
      <c r="R173" s="146"/>
      <c r="T173" s="156">
        <v>6</v>
      </c>
      <c r="U173" s="156">
        <v>7</v>
      </c>
      <c r="V173" s="89"/>
      <c r="W173" s="130" t="s">
        <v>290</v>
      </c>
      <c r="X173" s="159">
        <v>50464266</v>
      </c>
      <c r="Y173" s="159">
        <v>1</v>
      </c>
      <c r="Z173" s="89"/>
      <c r="AA173" s="124"/>
      <c r="AB173" s="124" t="s">
        <v>289</v>
      </c>
      <c r="AC173" s="162">
        <v>1.00151466980724E-11</v>
      </c>
    </row>
    <row r="174" spans="2:29">
      <c r="B174" s="178" t="s">
        <v>229</v>
      </c>
      <c r="C174" s="175"/>
      <c r="D174" s="175"/>
      <c r="E174" s="175"/>
      <c r="F174" s="178" t="s">
        <v>269</v>
      </c>
      <c r="G174" s="175"/>
      <c r="H174" s="175"/>
      <c r="I174" s="175"/>
      <c r="K174" s="173"/>
      <c r="L174" s="175"/>
      <c r="M174" s="175"/>
      <c r="N174" s="175"/>
      <c r="O174" s="173"/>
      <c r="P174" s="175"/>
      <c r="Q174" s="175"/>
      <c r="R174" s="175"/>
      <c r="T174" s="151">
        <v>8</v>
      </c>
      <c r="U174" s="151">
        <v>9</v>
      </c>
      <c r="V174" s="151"/>
      <c r="W174" s="157" t="s">
        <v>82</v>
      </c>
      <c r="X174" s="159">
        <v>16909578</v>
      </c>
      <c r="Y174" s="160">
        <v>16777217</v>
      </c>
      <c r="Z174" s="89"/>
      <c r="AA174" s="124"/>
      <c r="AB174" s="124" t="s">
        <v>291</v>
      </c>
      <c r="AC174" s="162">
        <v>1.05481694490094E-8</v>
      </c>
    </row>
    <row r="175" spans="2:29">
      <c r="B175" s="178" t="s">
        <v>272</v>
      </c>
      <c r="C175" s="175"/>
      <c r="D175" s="175"/>
      <c r="E175" s="175"/>
      <c r="F175" s="178" t="s">
        <v>275</v>
      </c>
      <c r="G175" s="175"/>
      <c r="H175" s="175"/>
      <c r="I175" s="175"/>
      <c r="K175" s="173"/>
      <c r="L175" s="175"/>
      <c r="M175" s="175"/>
      <c r="N175" s="175"/>
      <c r="O175" s="174"/>
      <c r="P175" s="174"/>
      <c r="Q175" s="174"/>
      <c r="R175" s="177"/>
      <c r="T175" s="156">
        <v>10</v>
      </c>
      <c r="U175" s="156">
        <v>11</v>
      </c>
      <c r="V175" s="89"/>
      <c r="W175" s="130" t="s">
        <v>290</v>
      </c>
      <c r="X175" s="159">
        <v>50464266</v>
      </c>
      <c r="Y175" s="159">
        <v>1</v>
      </c>
      <c r="Z175" s="89"/>
      <c r="AA175" s="124"/>
      <c r="AB175" s="124" t="s">
        <v>289</v>
      </c>
      <c r="AC175" s="110">
        <v>0</v>
      </c>
    </row>
    <row r="176" spans="2:29">
      <c r="B176" s="178" t="s">
        <v>276</v>
      </c>
      <c r="C176" s="175"/>
      <c r="D176" s="175"/>
      <c r="E176" s="175"/>
      <c r="F176" s="175" t="s">
        <v>278</v>
      </c>
      <c r="G176" s="175"/>
      <c r="H176" s="175"/>
      <c r="I176" s="176"/>
      <c r="K176" s="173"/>
      <c r="L176" s="174"/>
      <c r="M176" s="174"/>
      <c r="N176" s="174"/>
      <c r="O176" s="174"/>
      <c r="P176" s="175"/>
      <c r="Q176" s="175"/>
      <c r="R176" s="176"/>
      <c r="T176" s="151">
        <v>12</v>
      </c>
      <c r="U176" s="151">
        <v>13</v>
      </c>
      <c r="V176" s="151"/>
      <c r="W176" s="157" t="s">
        <v>66</v>
      </c>
      <c r="X176" s="159">
        <v>33687306</v>
      </c>
      <c r="Y176" s="159">
        <v>33554433</v>
      </c>
      <c r="Z176" s="89"/>
      <c r="AA176" s="124"/>
      <c r="AB176" s="124" t="s">
        <v>292</v>
      </c>
      <c r="AC176" s="110">
        <v>0</v>
      </c>
    </row>
    <row r="177" spans="2:29">
      <c r="B177" s="175" t="s">
        <v>279</v>
      </c>
      <c r="C177" s="175"/>
      <c r="D177" s="175"/>
      <c r="E177" s="176"/>
      <c r="F177" s="178" t="s">
        <v>231</v>
      </c>
      <c r="G177" s="175"/>
      <c r="H177" s="175"/>
      <c r="I177" s="176"/>
      <c r="K177" s="173"/>
      <c r="L177" s="175"/>
      <c r="M177" s="175"/>
      <c r="N177" s="175"/>
      <c r="O177" s="174"/>
      <c r="P177" s="174"/>
      <c r="Q177" s="174"/>
      <c r="R177" s="177"/>
      <c r="T177" s="156">
        <v>14</v>
      </c>
      <c r="U177" s="156">
        <v>15</v>
      </c>
      <c r="V177" s="89"/>
      <c r="W177" s="158" t="s">
        <v>293</v>
      </c>
      <c r="X177" s="161">
        <v>151129866</v>
      </c>
      <c r="Y177" s="161">
        <v>1</v>
      </c>
      <c r="Z177" s="89"/>
      <c r="AA177" s="124"/>
      <c r="AB177" s="124" t="s">
        <v>289</v>
      </c>
      <c r="AC177" s="110">
        <v>0</v>
      </c>
    </row>
    <row r="178" spans="2:29">
      <c r="B178" s="175" t="s">
        <v>233</v>
      </c>
      <c r="C178" s="175"/>
      <c r="D178" s="175"/>
      <c r="E178" s="176"/>
      <c r="F178" s="89"/>
      <c r="G178" s="89"/>
      <c r="H178" s="89"/>
      <c r="I178" s="146"/>
      <c r="K178" s="174"/>
      <c r="L178" s="175"/>
      <c r="M178" s="175"/>
      <c r="N178" s="176"/>
      <c r="T178" s="151">
        <v>16</v>
      </c>
      <c r="U178" s="151">
        <v>17</v>
      </c>
      <c r="V178" s="151"/>
      <c r="W178" s="157" t="s">
        <v>296</v>
      </c>
      <c r="X178" s="161">
        <v>100812810</v>
      </c>
      <c r="Y178" s="161">
        <v>1</v>
      </c>
      <c r="Z178" s="89"/>
      <c r="AA178" s="124"/>
      <c r="AB178" s="124" t="s">
        <v>291</v>
      </c>
      <c r="AC178" s="110">
        <v>0</v>
      </c>
    </row>
    <row r="179" spans="2:29">
      <c r="B179" s="175" t="s">
        <v>234</v>
      </c>
      <c r="C179" s="175"/>
      <c r="D179" s="175"/>
      <c r="E179" s="176"/>
      <c r="F179" s="178" t="s">
        <v>285</v>
      </c>
      <c r="G179" s="175"/>
      <c r="H179" s="175"/>
      <c r="I179" s="176"/>
      <c r="K179" s="173"/>
      <c r="L179" s="174"/>
      <c r="M179" s="174"/>
      <c r="N179" s="174"/>
      <c r="O179" s="174"/>
      <c r="P179" s="174"/>
      <c r="Q179" s="174"/>
      <c r="R179" s="177"/>
      <c r="T179" s="156">
        <v>18</v>
      </c>
      <c r="U179" s="156">
        <v>19</v>
      </c>
      <c r="V179" s="89"/>
      <c r="W179" s="89"/>
      <c r="X179" s="89"/>
      <c r="Y179" s="89"/>
      <c r="Z179" s="89"/>
      <c r="AA179" s="124"/>
      <c r="AB179" s="124" t="s">
        <v>289</v>
      </c>
      <c r="AC179" s="110">
        <v>0</v>
      </c>
    </row>
    <row r="180" spans="2:29">
      <c r="B180" s="145"/>
      <c r="C180" s="89"/>
      <c r="D180" s="89"/>
      <c r="E180" s="89"/>
      <c r="F180" s="89"/>
      <c r="G180" s="89"/>
      <c r="H180" s="89"/>
      <c r="I180" s="146"/>
      <c r="K180" s="163"/>
      <c r="L180" s="164"/>
      <c r="M180" s="164"/>
      <c r="N180" s="164"/>
      <c r="O180" s="89"/>
      <c r="P180" s="89"/>
      <c r="Q180" s="89"/>
      <c r="R180" s="146"/>
      <c r="T180" s="151">
        <v>20</v>
      </c>
      <c r="U180" s="151">
        <v>21</v>
      </c>
      <c r="V180" s="151"/>
      <c r="W180" s="151"/>
      <c r="X180" s="89"/>
      <c r="Y180" s="89"/>
      <c r="Z180" s="89"/>
      <c r="AA180" s="124"/>
      <c r="AB180" s="124" t="s">
        <v>292</v>
      </c>
      <c r="AC180" s="110">
        <v>0</v>
      </c>
    </row>
    <row r="181" spans="2:29">
      <c r="B181" s="145"/>
      <c r="C181" s="89"/>
      <c r="D181" s="89"/>
      <c r="E181" s="89"/>
      <c r="F181" s="183" t="s">
        <v>236</v>
      </c>
      <c r="G181" s="183"/>
      <c r="H181" s="183"/>
      <c r="I181" s="184"/>
      <c r="K181" s="145"/>
      <c r="L181" s="89"/>
      <c r="M181" s="89"/>
      <c r="N181" s="89"/>
      <c r="O181" s="89"/>
      <c r="P181" s="89"/>
      <c r="Q181" s="89"/>
      <c r="R181" s="146"/>
      <c r="T181" s="156">
        <v>22</v>
      </c>
      <c r="U181" s="156">
        <v>23</v>
      </c>
      <c r="V181" s="89"/>
      <c r="W181" s="89"/>
      <c r="X181" s="89"/>
      <c r="Y181" s="89"/>
      <c r="Z181" s="89"/>
      <c r="AA181" s="124"/>
      <c r="AB181" s="124" t="s">
        <v>289</v>
      </c>
      <c r="AC181" s="110">
        <v>0</v>
      </c>
    </row>
    <row r="182" spans="2:29">
      <c r="B182" s="182" t="s">
        <v>238</v>
      </c>
      <c r="C182" s="183"/>
      <c r="D182" s="183"/>
      <c r="E182" s="183"/>
      <c r="F182" s="164" t="s">
        <v>237</v>
      </c>
      <c r="G182" s="164"/>
      <c r="H182" s="164"/>
      <c r="I182" s="165"/>
      <c r="K182" s="150"/>
      <c r="L182" s="151"/>
      <c r="M182" s="151"/>
      <c r="N182" s="151"/>
      <c r="O182" s="89"/>
      <c r="P182" s="89"/>
      <c r="Q182" s="89"/>
      <c r="R182" s="146"/>
      <c r="T182" s="151">
        <v>24</v>
      </c>
      <c r="U182" s="151">
        <v>25</v>
      </c>
      <c r="V182" s="89"/>
      <c r="W182" s="89"/>
      <c r="X182" s="89"/>
      <c r="Y182" s="89"/>
      <c r="Z182" s="89"/>
      <c r="AA182" s="124"/>
      <c r="AB182" s="124" t="s">
        <v>291</v>
      </c>
      <c r="AC182" s="110">
        <v>0</v>
      </c>
    </row>
    <row r="183" spans="2:29">
      <c r="B183" s="182" t="s">
        <v>239</v>
      </c>
      <c r="C183" s="183"/>
      <c r="D183" s="183"/>
      <c r="E183" s="183"/>
      <c r="F183" s="164" t="s">
        <v>240</v>
      </c>
      <c r="G183" s="164"/>
      <c r="H183" s="164"/>
      <c r="I183" s="165"/>
      <c r="K183" s="145"/>
      <c r="L183" s="89"/>
      <c r="M183" s="89"/>
      <c r="N183" s="89"/>
      <c r="O183" s="89"/>
      <c r="P183" s="89"/>
      <c r="Q183" s="89"/>
      <c r="R183" s="146"/>
      <c r="T183" s="156">
        <v>26</v>
      </c>
      <c r="U183" s="156">
        <v>27</v>
      </c>
      <c r="V183" s="89"/>
      <c r="W183" s="89"/>
      <c r="X183" s="89"/>
      <c r="Y183" s="89"/>
      <c r="Z183" s="89"/>
      <c r="AA183" s="124"/>
      <c r="AB183" s="124" t="s">
        <v>289</v>
      </c>
      <c r="AC183" s="110">
        <v>0</v>
      </c>
    </row>
    <row r="184" spans="2:29">
      <c r="B184" s="150"/>
      <c r="C184" s="151"/>
      <c r="D184" s="151"/>
      <c r="E184" s="151"/>
      <c r="F184" s="164" t="s">
        <v>256</v>
      </c>
      <c r="G184" s="164"/>
      <c r="H184" s="164"/>
      <c r="I184" s="165"/>
      <c r="K184" s="150"/>
      <c r="L184" s="151"/>
      <c r="M184" s="151"/>
      <c r="N184" s="151"/>
      <c r="O184" s="164">
        <v>131072</v>
      </c>
      <c r="P184" s="164"/>
      <c r="Q184" s="164"/>
      <c r="R184" s="165"/>
      <c r="T184" s="151">
        <v>28</v>
      </c>
      <c r="U184" s="151">
        <v>29</v>
      </c>
      <c r="V184" s="89"/>
      <c r="W184" s="89"/>
      <c r="X184" s="89"/>
      <c r="Y184" s="89"/>
      <c r="Z184" s="89"/>
      <c r="AA184" s="124"/>
      <c r="AB184" s="124" t="s">
        <v>291</v>
      </c>
      <c r="AC184" s="110">
        <v>0</v>
      </c>
    </row>
    <row r="185" spans="2:29">
      <c r="B185" s="163" t="s">
        <v>260</v>
      </c>
      <c r="C185" s="164"/>
      <c r="D185" s="164"/>
      <c r="E185" s="164"/>
      <c r="F185" s="89"/>
      <c r="G185" s="89"/>
      <c r="H185" s="89"/>
      <c r="I185" s="146"/>
      <c r="K185" s="163"/>
      <c r="L185" s="164"/>
      <c r="M185" s="164"/>
      <c r="N185" s="164"/>
      <c r="O185" s="89"/>
      <c r="P185" s="89"/>
      <c r="Q185" s="89"/>
      <c r="R185" s="146"/>
      <c r="T185" s="156">
        <v>30</v>
      </c>
      <c r="U185" s="156">
        <v>31</v>
      </c>
      <c r="V185" s="89"/>
      <c r="W185" s="89"/>
      <c r="X185" s="89"/>
      <c r="Y185" s="89"/>
      <c r="Z185" s="89"/>
      <c r="AA185" s="124"/>
      <c r="AB185" s="124" t="s">
        <v>289</v>
      </c>
      <c r="AC185" s="110">
        <v>0</v>
      </c>
    </row>
    <row r="186" spans="2:29">
      <c r="B186" s="150"/>
      <c r="C186" s="151"/>
      <c r="D186" s="151"/>
      <c r="E186" s="151"/>
      <c r="F186" s="89"/>
      <c r="G186" s="89"/>
      <c r="H186" s="89"/>
      <c r="I186" s="146"/>
      <c r="K186" s="150"/>
      <c r="L186" s="151"/>
      <c r="M186" s="151"/>
      <c r="N186" s="151"/>
      <c r="O186" s="89"/>
      <c r="P186" s="89"/>
      <c r="Q186" s="89"/>
      <c r="R186" s="146"/>
      <c r="T186" s="151">
        <v>32</v>
      </c>
      <c r="U186" s="151">
        <v>33</v>
      </c>
      <c r="V186" s="89"/>
      <c r="W186" s="89" t="s">
        <v>289</v>
      </c>
      <c r="X186" s="124" t="s">
        <v>289</v>
      </c>
      <c r="Y186" s="89"/>
      <c r="Z186" s="89"/>
      <c r="AA186" s="124"/>
      <c r="AB186" s="124" t="s">
        <v>292</v>
      </c>
      <c r="AC186" s="110">
        <v>0</v>
      </c>
    </row>
    <row r="187" spans="2:29">
      <c r="B187" s="145"/>
      <c r="C187" s="89"/>
      <c r="D187" s="89"/>
      <c r="E187" s="89"/>
      <c r="F187" s="164" t="s">
        <v>256</v>
      </c>
      <c r="G187" s="164"/>
      <c r="H187" s="164"/>
      <c r="I187" s="165"/>
      <c r="K187" s="145"/>
      <c r="L187" s="89"/>
      <c r="M187" s="89"/>
      <c r="N187" s="89"/>
      <c r="O187" s="164">
        <v>64</v>
      </c>
      <c r="P187" s="164"/>
      <c r="Q187" s="164"/>
      <c r="R187" s="165"/>
      <c r="T187" s="156">
        <v>34</v>
      </c>
      <c r="U187" s="156">
        <v>35</v>
      </c>
      <c r="V187" s="89"/>
      <c r="W187" s="89" t="s">
        <v>291</v>
      </c>
      <c r="X187" s="124" t="s">
        <v>291</v>
      </c>
      <c r="Y187" s="89"/>
      <c r="Z187" s="89"/>
      <c r="AA187" s="124"/>
      <c r="AB187" s="124" t="s">
        <v>289</v>
      </c>
      <c r="AC187" s="110">
        <v>0</v>
      </c>
    </row>
    <row r="188" spans="2:29">
      <c r="B188" s="150"/>
      <c r="C188" s="151"/>
      <c r="D188" s="151"/>
      <c r="E188" s="151"/>
      <c r="F188" s="89"/>
      <c r="G188" s="89"/>
      <c r="H188" s="89"/>
      <c r="I188" s="146"/>
      <c r="K188" s="150"/>
      <c r="L188" s="151"/>
      <c r="M188" s="151"/>
      <c r="N188" s="151"/>
      <c r="O188" s="89"/>
      <c r="P188" s="89"/>
      <c r="Q188" s="89"/>
      <c r="R188" s="146"/>
      <c r="T188" s="151">
        <v>36</v>
      </c>
      <c r="U188" s="151">
        <v>37</v>
      </c>
      <c r="V188" s="89"/>
      <c r="W188" s="89" t="s">
        <v>289</v>
      </c>
      <c r="X188" s="124" t="s">
        <v>289</v>
      </c>
      <c r="Y188" s="89"/>
      <c r="Z188" s="89"/>
      <c r="AA188" s="124"/>
      <c r="AB188" s="124" t="s">
        <v>291</v>
      </c>
      <c r="AC188" s="110">
        <v>0</v>
      </c>
    </row>
    <row r="189" spans="2:29">
      <c r="B189" s="145"/>
      <c r="C189" s="89"/>
      <c r="D189" s="89"/>
      <c r="E189" s="89"/>
      <c r="F189" s="89"/>
      <c r="G189" s="89"/>
      <c r="H189" s="89"/>
      <c r="I189" s="146"/>
      <c r="K189" s="145"/>
      <c r="L189" s="89"/>
      <c r="M189" s="89"/>
      <c r="N189" s="89"/>
      <c r="O189" s="89"/>
      <c r="P189" s="89"/>
      <c r="Q189" s="89"/>
      <c r="R189" s="146"/>
      <c r="T189" s="156">
        <v>38</v>
      </c>
      <c r="U189" s="156">
        <v>39</v>
      </c>
      <c r="V189" s="89"/>
      <c r="W189" s="89" t="s">
        <v>292</v>
      </c>
      <c r="X189" s="124" t="s">
        <v>292</v>
      </c>
      <c r="Y189" s="89"/>
      <c r="Z189" s="89"/>
      <c r="AA189" s="124"/>
      <c r="AB189" s="124" t="s">
        <v>289</v>
      </c>
      <c r="AC189" s="110">
        <v>0</v>
      </c>
    </row>
    <row r="190" spans="2:29">
      <c r="B190" s="150"/>
      <c r="C190" s="151"/>
      <c r="D190" s="151"/>
      <c r="E190" s="151"/>
      <c r="F190" s="164" t="s">
        <v>259</v>
      </c>
      <c r="G190" s="164"/>
      <c r="H190" s="164"/>
      <c r="I190" s="165"/>
      <c r="K190" s="150"/>
      <c r="L190" s="151"/>
      <c r="M190" s="151"/>
      <c r="N190" s="151"/>
      <c r="O190" s="169"/>
      <c r="P190" s="164"/>
      <c r="Q190" s="164"/>
      <c r="R190" s="165"/>
      <c r="T190" s="151">
        <v>40</v>
      </c>
      <c r="U190" s="151">
        <v>41</v>
      </c>
      <c r="V190" s="89"/>
      <c r="W190" s="89" t="s">
        <v>289</v>
      </c>
      <c r="X190" s="124" t="s">
        <v>289</v>
      </c>
      <c r="Y190" s="89"/>
      <c r="Z190" s="89"/>
      <c r="AA190" s="124"/>
      <c r="AB190" s="124" t="s">
        <v>292</v>
      </c>
      <c r="AC190" s="110">
        <v>0</v>
      </c>
    </row>
    <row r="191" spans="2:29">
      <c r="B191" s="163" t="s">
        <v>262</v>
      </c>
      <c r="C191" s="164"/>
      <c r="D191" s="164"/>
      <c r="E191" s="164"/>
      <c r="F191" s="164" t="s">
        <v>263</v>
      </c>
      <c r="G191" s="164"/>
      <c r="H191" s="164"/>
      <c r="I191" s="165"/>
      <c r="K191" s="170"/>
      <c r="L191" s="164"/>
      <c r="M191" s="164"/>
      <c r="N191" s="164"/>
      <c r="O191" s="169"/>
      <c r="P191" s="169"/>
      <c r="Q191" s="169"/>
      <c r="R191" s="171"/>
      <c r="T191" s="156">
        <v>42</v>
      </c>
      <c r="U191" s="156">
        <v>43</v>
      </c>
      <c r="V191" s="89"/>
      <c r="W191" s="89" t="s">
        <v>291</v>
      </c>
      <c r="X191" s="124" t="s">
        <v>291</v>
      </c>
      <c r="Y191" s="89"/>
      <c r="Z191" s="89"/>
      <c r="AA191" s="124"/>
      <c r="AB191" s="124" t="s">
        <v>289</v>
      </c>
      <c r="AC191" s="110">
        <v>0</v>
      </c>
    </row>
    <row r="192" spans="2:29">
      <c r="B192" s="163" t="s">
        <v>192</v>
      </c>
      <c r="C192" s="164"/>
      <c r="D192" s="164"/>
      <c r="E192" s="164"/>
      <c r="F192" s="164" t="s">
        <v>192</v>
      </c>
      <c r="G192" s="164"/>
      <c r="H192" s="164"/>
      <c r="I192" s="165"/>
      <c r="K192" s="163"/>
      <c r="L192" s="164"/>
      <c r="M192" s="164"/>
      <c r="N192" s="164"/>
      <c r="O192" s="164"/>
      <c r="P192" s="164"/>
      <c r="Q192" s="164"/>
      <c r="R192" s="165"/>
      <c r="T192" s="151">
        <v>44</v>
      </c>
      <c r="U192" s="151">
        <v>45</v>
      </c>
      <c r="V192" s="89"/>
      <c r="W192" s="89" t="s">
        <v>289</v>
      </c>
      <c r="X192" s="124" t="s">
        <v>289</v>
      </c>
      <c r="Y192" s="89"/>
      <c r="Z192" s="89"/>
      <c r="AA192" s="124"/>
      <c r="AB192" s="124" t="s">
        <v>291</v>
      </c>
      <c r="AC192" s="110">
        <v>0</v>
      </c>
    </row>
    <row r="193" spans="2:29">
      <c r="B193" s="163">
        <v>999</v>
      </c>
      <c r="C193" s="164"/>
      <c r="D193" s="164"/>
      <c r="E193" s="164"/>
      <c r="F193" s="164">
        <v>999</v>
      </c>
      <c r="G193" s="164"/>
      <c r="H193" s="164"/>
      <c r="I193" s="165"/>
      <c r="K193" s="163"/>
      <c r="L193" s="164"/>
      <c r="M193" s="164"/>
      <c r="N193" s="164"/>
      <c r="O193" s="164"/>
      <c r="P193" s="164"/>
      <c r="Q193" s="164"/>
      <c r="R193" s="165"/>
      <c r="T193" s="156">
        <v>46</v>
      </c>
      <c r="U193" s="156">
        <v>47</v>
      </c>
      <c r="V193" s="89"/>
      <c r="W193" s="89" t="s">
        <v>292</v>
      </c>
      <c r="X193" s="124" t="s">
        <v>292</v>
      </c>
      <c r="Y193" s="89"/>
      <c r="Z193" s="89"/>
      <c r="AA193" s="124"/>
      <c r="AB193" s="124" t="s">
        <v>289</v>
      </c>
      <c r="AC193" s="110">
        <v>0</v>
      </c>
    </row>
    <row r="194" spans="2:29" ht="17.25" thickBot="1">
      <c r="B194" s="166">
        <v>999</v>
      </c>
      <c r="C194" s="167"/>
      <c r="D194" s="167"/>
      <c r="E194" s="167"/>
      <c r="F194" s="167">
        <v>999</v>
      </c>
      <c r="G194" s="167"/>
      <c r="H194" s="167"/>
      <c r="I194" s="168"/>
      <c r="K194" s="166"/>
      <c r="L194" s="167"/>
      <c r="M194" s="167"/>
      <c r="N194" s="167"/>
      <c r="O194" s="167"/>
      <c r="P194" s="167"/>
      <c r="Q194" s="167"/>
      <c r="R194" s="168"/>
      <c r="T194" s="151">
        <v>48</v>
      </c>
      <c r="U194" s="151">
        <v>49</v>
      </c>
      <c r="V194" s="89"/>
      <c r="W194" s="89" t="s">
        <v>289</v>
      </c>
      <c r="X194" s="124" t="s">
        <v>289</v>
      </c>
      <c r="Y194" s="89"/>
      <c r="Z194" s="89"/>
      <c r="AA194" s="124"/>
      <c r="AB194" s="124" t="s">
        <v>291</v>
      </c>
      <c r="AC194" s="110">
        <v>0</v>
      </c>
    </row>
    <row r="195" spans="2:29" ht="18" thickTop="1" thickBot="1">
      <c r="T195" s="89"/>
      <c r="U195" s="89"/>
      <c r="V195" s="89"/>
      <c r="W195" s="89" t="s">
        <v>291</v>
      </c>
      <c r="X195" s="124" t="s">
        <v>291</v>
      </c>
      <c r="Y195" s="89"/>
      <c r="Z195" s="89"/>
      <c r="AA195" s="124"/>
      <c r="AB195" s="124" t="s">
        <v>289</v>
      </c>
      <c r="AC195" s="110">
        <v>0</v>
      </c>
    </row>
    <row r="196" spans="2:29" ht="17.25" thickTop="1">
      <c r="B196" s="179" t="s">
        <v>256</v>
      </c>
      <c r="C196" s="180"/>
      <c r="D196" s="180"/>
      <c r="E196" s="180"/>
      <c r="F196" s="180" t="s">
        <v>256</v>
      </c>
      <c r="G196" s="180"/>
      <c r="H196" s="180"/>
      <c r="I196" s="181"/>
      <c r="K196" s="179">
        <v>33687306</v>
      </c>
      <c r="L196" s="180"/>
      <c r="M196" s="180"/>
      <c r="N196" s="180"/>
      <c r="O196" s="180">
        <v>33554433</v>
      </c>
      <c r="P196" s="180"/>
      <c r="Q196" s="180"/>
      <c r="R196" s="181"/>
      <c r="S196" s="151">
        <v>0</v>
      </c>
      <c r="T196" s="151">
        <v>1</v>
      </c>
      <c r="U196" s="89"/>
      <c r="V196" s="89"/>
      <c r="W196" s="89" t="s">
        <v>289</v>
      </c>
      <c r="X196" s="124" t="s">
        <v>289</v>
      </c>
      <c r="Y196" s="89"/>
      <c r="Z196" s="89"/>
      <c r="AA196" s="124"/>
      <c r="AB196" s="124" t="s">
        <v>291</v>
      </c>
      <c r="AC196" s="110">
        <v>0</v>
      </c>
    </row>
    <row r="197" spans="2:29">
      <c r="B197" s="145"/>
      <c r="C197" s="89"/>
      <c r="D197" s="89"/>
      <c r="E197" s="89"/>
      <c r="F197" s="175" t="s">
        <v>266</v>
      </c>
      <c r="G197" s="175"/>
      <c r="H197" s="175"/>
      <c r="I197" s="176"/>
      <c r="K197" s="163">
        <v>31208</v>
      </c>
      <c r="L197" s="164"/>
      <c r="M197" s="164"/>
      <c r="N197" s="164"/>
      <c r="O197" s="175">
        <v>43670</v>
      </c>
      <c r="P197" s="175"/>
      <c r="Q197" s="175"/>
      <c r="R197" s="176"/>
      <c r="S197" s="156">
        <v>2</v>
      </c>
      <c r="T197" s="156">
        <v>3</v>
      </c>
      <c r="U197" s="89"/>
      <c r="V197" s="89"/>
      <c r="W197" s="89" t="s">
        <v>292</v>
      </c>
      <c r="X197" s="124" t="s">
        <v>292</v>
      </c>
      <c r="Y197" s="89"/>
      <c r="Z197" s="89"/>
      <c r="AA197" s="124"/>
      <c r="AB197" s="124" t="s">
        <v>289</v>
      </c>
      <c r="AC197" s="110">
        <v>0</v>
      </c>
    </row>
    <row r="198" spans="2:29">
      <c r="B198" s="163" t="s">
        <v>267</v>
      </c>
      <c r="C198" s="164"/>
      <c r="D198" s="164"/>
      <c r="E198" s="164"/>
      <c r="F198" s="164" t="s">
        <v>268</v>
      </c>
      <c r="G198" s="164"/>
      <c r="H198" s="164"/>
      <c r="I198" s="165"/>
      <c r="K198" s="163">
        <v>1</v>
      </c>
      <c r="L198" s="164"/>
      <c r="M198" s="164"/>
      <c r="N198" s="164"/>
      <c r="O198" s="164">
        <v>2</v>
      </c>
      <c r="P198" s="164"/>
      <c r="Q198" s="164"/>
      <c r="R198" s="165"/>
      <c r="S198" s="151">
        <v>4</v>
      </c>
      <c r="T198" s="151">
        <v>5</v>
      </c>
      <c r="U198" s="89"/>
      <c r="V198" s="89"/>
      <c r="W198" s="89" t="s">
        <v>289</v>
      </c>
      <c r="X198" s="124" t="s">
        <v>289</v>
      </c>
      <c r="Y198" s="89"/>
      <c r="Z198" s="89"/>
      <c r="AA198" s="124"/>
      <c r="AB198" s="124" t="s">
        <v>292</v>
      </c>
      <c r="AC198" s="110">
        <v>0</v>
      </c>
    </row>
    <row r="199" spans="2:29">
      <c r="B199" s="178" t="s">
        <v>265</v>
      </c>
      <c r="C199" s="175"/>
      <c r="D199" s="175"/>
      <c r="E199" s="175"/>
      <c r="F199" s="89"/>
      <c r="G199" s="89"/>
      <c r="H199" s="89"/>
      <c r="I199" s="146"/>
      <c r="K199" s="178">
        <v>43671</v>
      </c>
      <c r="L199" s="175"/>
      <c r="M199" s="175"/>
      <c r="N199" s="175"/>
      <c r="O199" s="89"/>
      <c r="P199" s="89"/>
      <c r="Q199" s="89"/>
      <c r="R199" s="146"/>
      <c r="S199" s="156">
        <v>6</v>
      </c>
      <c r="T199" s="156">
        <v>7</v>
      </c>
      <c r="U199" s="89"/>
      <c r="V199" s="89"/>
      <c r="W199" s="89" t="s">
        <v>291</v>
      </c>
      <c r="X199" s="124" t="s">
        <v>291</v>
      </c>
      <c r="Y199" s="89"/>
      <c r="Z199" s="89"/>
      <c r="AA199" s="124"/>
      <c r="AB199" s="124" t="s">
        <v>289</v>
      </c>
      <c r="AC199" s="110">
        <v>0</v>
      </c>
    </row>
    <row r="200" spans="2:29">
      <c r="B200" s="178" t="s">
        <v>229</v>
      </c>
      <c r="C200" s="175"/>
      <c r="D200" s="175"/>
      <c r="E200" s="175"/>
      <c r="F200" s="178" t="s">
        <v>287</v>
      </c>
      <c r="G200" s="175"/>
      <c r="H200" s="175"/>
      <c r="I200" s="175"/>
      <c r="K200" s="173">
        <v>2499.99609375</v>
      </c>
      <c r="L200" s="175"/>
      <c r="M200" s="175"/>
      <c r="N200" s="175"/>
      <c r="O200" s="173">
        <v>-41864.65625</v>
      </c>
      <c r="P200" s="175"/>
      <c r="Q200" s="175"/>
      <c r="R200" s="175"/>
      <c r="S200" s="151">
        <v>8</v>
      </c>
      <c r="T200" s="151">
        <v>9</v>
      </c>
      <c r="U200" s="89"/>
      <c r="V200" s="89"/>
      <c r="W200" s="89" t="s">
        <v>289</v>
      </c>
      <c r="X200" s="124" t="s">
        <v>289</v>
      </c>
      <c r="Y200" s="89"/>
      <c r="Z200" s="89"/>
      <c r="AA200" s="124"/>
      <c r="AB200" s="124" t="s">
        <v>291</v>
      </c>
      <c r="AC200" s="110">
        <v>0</v>
      </c>
    </row>
    <row r="201" spans="2:29">
      <c r="B201" s="178" t="s">
        <v>272</v>
      </c>
      <c r="C201" s="175"/>
      <c r="D201" s="175"/>
      <c r="E201" s="175"/>
      <c r="F201" s="178" t="s">
        <v>275</v>
      </c>
      <c r="G201" s="175"/>
      <c r="H201" s="175"/>
      <c r="I201" s="175"/>
      <c r="K201" s="173">
        <v>127812.4453125</v>
      </c>
      <c r="L201" s="175"/>
      <c r="M201" s="175"/>
      <c r="N201" s="175"/>
      <c r="O201" s="174">
        <v>104661</v>
      </c>
      <c r="P201" s="174"/>
      <c r="Q201" s="174"/>
      <c r="R201" s="177"/>
      <c r="S201" s="156">
        <v>10</v>
      </c>
      <c r="T201" s="156">
        <v>11</v>
      </c>
      <c r="U201" s="89"/>
      <c r="V201" s="89"/>
      <c r="W201" s="89" t="s">
        <v>292</v>
      </c>
      <c r="X201" s="124" t="s">
        <v>292</v>
      </c>
      <c r="Y201" s="89"/>
      <c r="Z201" s="89"/>
      <c r="AA201" s="124"/>
      <c r="AB201" s="124" t="s">
        <v>289</v>
      </c>
      <c r="AC201" s="110">
        <v>0</v>
      </c>
    </row>
    <row r="202" spans="2:29">
      <c r="B202" s="178" t="s">
        <v>276</v>
      </c>
      <c r="C202" s="175"/>
      <c r="D202" s="175"/>
      <c r="E202" s="175"/>
      <c r="F202" s="175" t="s">
        <v>278</v>
      </c>
      <c r="G202" s="175"/>
      <c r="H202" s="175"/>
      <c r="I202" s="176"/>
      <c r="K202" s="173">
        <v>474932</v>
      </c>
      <c r="L202" s="174"/>
      <c r="M202" s="174"/>
      <c r="N202" s="174"/>
      <c r="O202" s="174">
        <v>10990.419921875</v>
      </c>
      <c r="P202" s="175"/>
      <c r="Q202" s="175"/>
      <c r="R202" s="176"/>
      <c r="S202" s="151">
        <v>12</v>
      </c>
      <c r="T202" s="151">
        <v>13</v>
      </c>
      <c r="U202" s="89"/>
      <c r="V202" s="89"/>
      <c r="W202" s="89" t="s">
        <v>289</v>
      </c>
      <c r="X202" s="124" t="s">
        <v>289</v>
      </c>
      <c r="Y202" s="89"/>
      <c r="Z202" s="89"/>
      <c r="AA202" s="124"/>
      <c r="AB202" s="124" t="s">
        <v>292</v>
      </c>
      <c r="AC202" s="110">
        <v>0</v>
      </c>
    </row>
    <row r="203" spans="2:29">
      <c r="B203" s="175" t="s">
        <v>279</v>
      </c>
      <c r="C203" s="175"/>
      <c r="D203" s="175"/>
      <c r="E203" s="176"/>
      <c r="F203" s="178" t="s">
        <v>231</v>
      </c>
      <c r="G203" s="175"/>
      <c r="H203" s="175"/>
      <c r="I203" s="176"/>
      <c r="K203" s="173">
        <v>41294.1796875</v>
      </c>
      <c r="L203" s="175"/>
      <c r="M203" s="175"/>
      <c r="N203" s="175"/>
      <c r="O203" s="174">
        <v>1.1219999790191599</v>
      </c>
      <c r="P203" s="174"/>
      <c r="Q203" s="174"/>
      <c r="R203" s="177"/>
      <c r="S203" s="156">
        <v>14</v>
      </c>
      <c r="T203" s="156">
        <v>15</v>
      </c>
      <c r="U203" s="89"/>
      <c r="V203" s="89"/>
      <c r="W203" s="89"/>
      <c r="X203" s="124" t="s">
        <v>294</v>
      </c>
      <c r="Y203" s="89"/>
      <c r="Z203" s="89"/>
      <c r="AA203" s="124"/>
      <c r="AB203" s="124" t="s">
        <v>289</v>
      </c>
      <c r="AC203" s="110">
        <v>0</v>
      </c>
    </row>
    <row r="204" spans="2:29">
      <c r="B204" s="175" t="s">
        <v>233</v>
      </c>
      <c r="C204" s="175"/>
      <c r="D204" s="175"/>
      <c r="E204" s="176"/>
      <c r="F204" s="89"/>
      <c r="G204" s="89"/>
      <c r="H204" s="89"/>
      <c r="I204" s="146"/>
      <c r="K204" s="174">
        <v>26</v>
      </c>
      <c r="L204" s="175"/>
      <c r="M204" s="175"/>
      <c r="N204" s="176"/>
      <c r="S204" s="151">
        <v>16</v>
      </c>
      <c r="T204" s="151">
        <v>17</v>
      </c>
      <c r="U204" s="89"/>
      <c r="V204" s="89"/>
      <c r="W204" s="89"/>
      <c r="X204" s="124" t="s">
        <v>294</v>
      </c>
      <c r="Y204" s="89"/>
      <c r="Z204" s="89"/>
      <c r="AA204" s="124"/>
      <c r="AB204" s="124" t="s">
        <v>291</v>
      </c>
      <c r="AC204" s="162">
        <v>3.7835058536770001E-44</v>
      </c>
    </row>
    <row r="205" spans="2:29">
      <c r="B205" s="175" t="s">
        <v>234</v>
      </c>
      <c r="C205" s="175"/>
      <c r="D205" s="175"/>
      <c r="E205" s="176"/>
      <c r="F205" s="178" t="s">
        <v>285</v>
      </c>
      <c r="G205" s="175"/>
      <c r="H205" s="175"/>
      <c r="I205" s="176"/>
      <c r="K205" s="173">
        <v>3716.19995117187</v>
      </c>
      <c r="L205" s="174"/>
      <c r="M205" s="174"/>
      <c r="N205" s="174"/>
      <c r="O205" s="174">
        <v>-41866.3984375</v>
      </c>
      <c r="P205" s="174"/>
      <c r="Q205" s="174"/>
      <c r="R205" s="177"/>
      <c r="S205" s="156">
        <v>18</v>
      </c>
      <c r="T205" s="156">
        <v>19</v>
      </c>
      <c r="U205" s="89"/>
      <c r="V205" s="89"/>
      <c r="W205" s="89"/>
      <c r="X205" s="124" t="s">
        <v>292</v>
      </c>
      <c r="Y205" s="89"/>
      <c r="Z205" s="89"/>
      <c r="AA205" s="124"/>
      <c r="AB205" s="124" t="s">
        <v>289</v>
      </c>
      <c r="AC205" s="162">
        <v>1.8367239361444601E-40</v>
      </c>
    </row>
    <row r="206" spans="2:29">
      <c r="B206" s="145"/>
      <c r="C206" s="89"/>
      <c r="D206" s="89"/>
      <c r="E206" s="89"/>
      <c r="F206" s="89"/>
      <c r="G206" s="89"/>
      <c r="H206" s="89"/>
      <c r="I206" s="146"/>
      <c r="K206" s="163"/>
      <c r="L206" s="164"/>
      <c r="M206" s="164"/>
      <c r="N206" s="164"/>
      <c r="O206" s="89"/>
      <c r="P206" s="89"/>
      <c r="Q206" s="89"/>
      <c r="R206" s="146"/>
      <c r="S206" s="151">
        <v>20</v>
      </c>
      <c r="T206" s="151">
        <v>21</v>
      </c>
      <c r="U206" s="89"/>
      <c r="V206" s="89"/>
      <c r="W206" s="89"/>
      <c r="X206" s="124" t="s">
        <v>289</v>
      </c>
      <c r="Y206" s="89"/>
      <c r="Z206" s="89"/>
      <c r="AA206" s="124"/>
      <c r="AB206" s="124" t="s">
        <v>292</v>
      </c>
      <c r="AC206" s="162">
        <v>9.1835916547530493E-40</v>
      </c>
    </row>
    <row r="207" spans="2:29">
      <c r="B207" s="145"/>
      <c r="C207" s="89"/>
      <c r="D207" s="89"/>
      <c r="E207" s="89"/>
      <c r="F207" s="183" t="s">
        <v>236</v>
      </c>
      <c r="G207" s="183"/>
      <c r="H207" s="183"/>
      <c r="I207" s="184"/>
      <c r="K207" s="145"/>
      <c r="L207" s="89"/>
      <c r="M207" s="89"/>
      <c r="N207" s="89"/>
      <c r="O207" s="89"/>
      <c r="P207" s="89"/>
      <c r="Q207" s="89"/>
      <c r="R207" s="146"/>
      <c r="S207" s="156">
        <v>22</v>
      </c>
      <c r="T207" s="156">
        <v>23</v>
      </c>
      <c r="U207" s="89"/>
      <c r="V207" s="89"/>
      <c r="W207" s="89"/>
      <c r="X207" s="124" t="s">
        <v>291</v>
      </c>
      <c r="Y207" s="89"/>
      <c r="Z207" s="89"/>
      <c r="AA207" s="124"/>
      <c r="AB207" s="124" t="s">
        <v>289</v>
      </c>
      <c r="AC207" s="162">
        <v>5.5102839123105403E-40</v>
      </c>
    </row>
    <row r="208" spans="2:29">
      <c r="B208" s="182" t="s">
        <v>238</v>
      </c>
      <c r="C208" s="183"/>
      <c r="D208" s="183"/>
      <c r="E208" s="183"/>
      <c r="F208" s="164" t="s">
        <v>237</v>
      </c>
      <c r="G208" s="164"/>
      <c r="H208" s="164"/>
      <c r="I208" s="165"/>
      <c r="K208" s="172">
        <v>127812.4453125</v>
      </c>
      <c r="L208" s="172"/>
      <c r="M208" s="172"/>
      <c r="N208" s="172"/>
      <c r="O208" s="89"/>
      <c r="P208" s="89"/>
      <c r="Q208" s="89"/>
      <c r="R208" s="146"/>
      <c r="S208" s="151">
        <v>24</v>
      </c>
      <c r="T208" s="151">
        <v>25</v>
      </c>
      <c r="U208" s="89"/>
      <c r="V208" s="89"/>
      <c r="W208" s="89"/>
      <c r="X208" s="124" t="s">
        <v>289</v>
      </c>
      <c r="Y208" s="89"/>
      <c r="Z208" s="89"/>
      <c r="AA208" s="124"/>
      <c r="AB208" s="124" t="s">
        <v>291</v>
      </c>
      <c r="AC208" s="162">
        <v>3.6735179372121504E-40</v>
      </c>
    </row>
    <row r="209" spans="2:29">
      <c r="B209" s="182" t="s">
        <v>239</v>
      </c>
      <c r="C209" s="183"/>
      <c r="D209" s="183"/>
      <c r="E209" s="183"/>
      <c r="F209" s="164" t="s">
        <v>240</v>
      </c>
      <c r="G209" s="164"/>
      <c r="H209" s="164"/>
      <c r="I209" s="165"/>
      <c r="K209" s="172">
        <v>474.93200683593699</v>
      </c>
      <c r="L209" s="172"/>
      <c r="M209" s="172"/>
      <c r="N209" s="172"/>
      <c r="O209" s="89"/>
      <c r="P209" s="89"/>
      <c r="Q209" s="89"/>
      <c r="R209" s="146"/>
      <c r="S209" s="156">
        <v>26</v>
      </c>
      <c r="T209" s="156">
        <v>27</v>
      </c>
      <c r="U209" s="89"/>
      <c r="V209" s="89"/>
      <c r="W209" s="89"/>
      <c r="X209" s="124" t="s">
        <v>292</v>
      </c>
      <c r="Y209" s="89"/>
      <c r="Z209" s="89"/>
      <c r="AA209" s="124"/>
      <c r="AB209" s="124" t="s">
        <v>289</v>
      </c>
      <c r="AC209" s="162">
        <v>1.19387826563545E-39</v>
      </c>
    </row>
    <row r="210" spans="2:29">
      <c r="B210" s="150"/>
      <c r="C210" s="151"/>
      <c r="D210" s="151"/>
      <c r="E210" s="151"/>
      <c r="F210" s="164" t="s">
        <v>256</v>
      </c>
      <c r="G210" s="164"/>
      <c r="H210" s="164"/>
      <c r="I210" s="165"/>
      <c r="K210" s="150"/>
      <c r="L210" s="151"/>
      <c r="M210" s="151"/>
      <c r="N210" s="151"/>
      <c r="O210" s="164">
        <v>131072</v>
      </c>
      <c r="P210" s="164"/>
      <c r="Q210" s="164"/>
      <c r="R210" s="165"/>
      <c r="S210" s="151">
        <v>28</v>
      </c>
      <c r="T210" s="151">
        <v>29</v>
      </c>
      <c r="U210" s="89"/>
      <c r="V210" s="89"/>
      <c r="W210" s="89"/>
      <c r="X210" s="124" t="s">
        <v>289</v>
      </c>
      <c r="Y210" s="89"/>
      <c r="Z210" s="89"/>
      <c r="AA210" s="124"/>
      <c r="AB210" s="124" t="s">
        <v>295</v>
      </c>
      <c r="AC210" s="162">
        <v>2.11225004279694E-39</v>
      </c>
    </row>
    <row r="211" spans="2:29">
      <c r="B211" s="163" t="s">
        <v>260</v>
      </c>
      <c r="C211" s="164"/>
      <c r="D211" s="164"/>
      <c r="E211" s="164"/>
      <c r="F211" s="89"/>
      <c r="G211" s="89"/>
      <c r="H211" s="89"/>
      <c r="I211" s="146"/>
      <c r="K211" s="163"/>
      <c r="L211" s="164"/>
      <c r="M211" s="164"/>
      <c r="N211" s="164"/>
      <c r="O211" s="89"/>
      <c r="P211" s="89"/>
      <c r="Q211" s="89"/>
      <c r="R211" s="146"/>
      <c r="S211" s="156">
        <v>30</v>
      </c>
      <c r="T211" s="156">
        <v>31</v>
      </c>
      <c r="U211" s="89"/>
      <c r="V211" s="89"/>
      <c r="W211" s="89"/>
      <c r="X211" s="124" t="s">
        <v>291</v>
      </c>
      <c r="Y211" s="89"/>
      <c r="Z211" s="89"/>
      <c r="AA211" s="124"/>
      <c r="AC211" s="162">
        <v>3.3979638045903899E-39</v>
      </c>
    </row>
    <row r="212" spans="2:29">
      <c r="B212" s="150"/>
      <c r="C212" s="151"/>
      <c r="D212" s="151"/>
      <c r="E212" s="151"/>
      <c r="F212" s="182" t="s">
        <v>238</v>
      </c>
      <c r="G212" s="183"/>
      <c r="H212" s="183"/>
      <c r="I212" s="183"/>
      <c r="K212" s="150"/>
      <c r="L212" s="151"/>
      <c r="M212" s="151"/>
      <c r="N212" s="151"/>
      <c r="O212" s="164">
        <v>127812.4453125</v>
      </c>
      <c r="P212" s="164"/>
      <c r="Q212" s="164"/>
      <c r="R212" s="165"/>
      <c r="S212" s="151">
        <v>32</v>
      </c>
      <c r="T212" s="151">
        <v>33</v>
      </c>
      <c r="U212" s="89"/>
      <c r="V212" s="89"/>
      <c r="W212" s="89"/>
      <c r="X212" s="124" t="s">
        <v>289</v>
      </c>
      <c r="Y212" s="89"/>
      <c r="Z212" s="89"/>
      <c r="AA212" s="124"/>
      <c r="AC212" s="162">
        <v>2.4795948300258299E-39</v>
      </c>
    </row>
    <row r="213" spans="2:29">
      <c r="B213" s="145"/>
      <c r="C213" s="89"/>
      <c r="D213" s="89"/>
      <c r="E213" s="89"/>
      <c r="F213" s="164" t="s">
        <v>256</v>
      </c>
      <c r="G213" s="164"/>
      <c r="H213" s="164"/>
      <c r="I213" s="165"/>
      <c r="K213" s="145"/>
      <c r="L213" s="89"/>
      <c r="M213" s="89"/>
      <c r="N213" s="89"/>
      <c r="O213" s="164">
        <v>65</v>
      </c>
      <c r="P213" s="164"/>
      <c r="Q213" s="164"/>
      <c r="R213" s="165"/>
      <c r="S213" s="156">
        <v>34</v>
      </c>
      <c r="T213" s="156">
        <v>35</v>
      </c>
      <c r="U213" s="89"/>
      <c r="V213" s="89"/>
      <c r="W213" s="89"/>
      <c r="X213" s="124" t="s">
        <v>291</v>
      </c>
      <c r="Y213" s="89"/>
      <c r="Z213" s="89"/>
      <c r="AA213" s="124"/>
      <c r="AC213" s="162">
        <v>3.2142900096774703E-39</v>
      </c>
    </row>
    <row r="214" spans="2:29">
      <c r="B214" s="150"/>
      <c r="C214" s="151"/>
      <c r="D214" s="151"/>
      <c r="E214" s="151"/>
      <c r="F214" s="89"/>
      <c r="G214" s="89"/>
      <c r="H214" s="89"/>
      <c r="I214" s="146"/>
      <c r="K214" s="150"/>
      <c r="L214" s="151"/>
      <c r="M214" s="151"/>
      <c r="N214" s="151"/>
      <c r="O214" s="89"/>
      <c r="P214" s="89"/>
      <c r="Q214" s="89"/>
      <c r="R214" s="146"/>
      <c r="S214" s="151">
        <v>36</v>
      </c>
      <c r="T214" s="151">
        <v>37</v>
      </c>
      <c r="U214" s="89"/>
      <c r="V214" s="89"/>
      <c r="W214" s="89"/>
      <c r="X214" s="124" t="s">
        <v>289</v>
      </c>
      <c r="Y214" s="89"/>
      <c r="Z214" s="89"/>
      <c r="AA214" s="124"/>
      <c r="AC214" s="162">
        <v>3.7653085918192801E-39</v>
      </c>
    </row>
    <row r="215" spans="2:29">
      <c r="B215" s="145"/>
      <c r="C215" s="89"/>
      <c r="D215" s="89"/>
      <c r="E215" s="89"/>
      <c r="F215" s="89"/>
      <c r="G215" s="89"/>
      <c r="H215" s="89"/>
      <c r="I215" s="146"/>
      <c r="K215" s="145"/>
      <c r="L215" s="89"/>
      <c r="M215" s="89"/>
      <c r="N215" s="89"/>
      <c r="O215" s="89"/>
      <c r="P215" s="89"/>
      <c r="Q215" s="89"/>
      <c r="R215" s="146"/>
      <c r="S215" s="156">
        <v>38</v>
      </c>
      <c r="T215" s="156">
        <v>39</v>
      </c>
      <c r="U215" s="89"/>
      <c r="V215" s="89"/>
      <c r="W215" s="89"/>
      <c r="X215" s="124" t="s">
        <v>292</v>
      </c>
      <c r="Y215" s="89"/>
      <c r="Z215" s="89"/>
      <c r="AA215" s="124"/>
      <c r="AC215" s="162">
        <v>4.0408206854871097E-39</v>
      </c>
    </row>
    <row r="216" spans="2:29">
      <c r="B216" s="150"/>
      <c r="C216" s="151"/>
      <c r="D216" s="151"/>
      <c r="E216" s="151"/>
      <c r="F216" s="164" t="s">
        <v>259</v>
      </c>
      <c r="G216" s="164"/>
      <c r="H216" s="164"/>
      <c r="I216" s="165"/>
      <c r="K216" s="150"/>
      <c r="L216" s="151"/>
      <c r="M216" s="151"/>
      <c r="N216" s="151"/>
      <c r="O216" s="169"/>
      <c r="P216" s="164"/>
      <c r="Q216" s="164"/>
      <c r="R216" s="165"/>
      <c r="S216" s="151">
        <v>40</v>
      </c>
      <c r="T216" s="151">
        <v>41</v>
      </c>
      <c r="U216" s="89"/>
      <c r="V216" s="89"/>
      <c r="W216" s="89"/>
      <c r="X216" s="124" t="s">
        <v>289</v>
      </c>
      <c r="Y216" s="89"/>
      <c r="Z216" s="89"/>
      <c r="AA216" s="124"/>
      <c r="AC216" s="162">
        <v>4.2244958816984897E-39</v>
      </c>
    </row>
    <row r="217" spans="2:29">
      <c r="B217" s="163" t="s">
        <v>262</v>
      </c>
      <c r="C217" s="164"/>
      <c r="D217" s="164"/>
      <c r="E217" s="164"/>
      <c r="F217" s="164" t="s">
        <v>263</v>
      </c>
      <c r="G217" s="164"/>
      <c r="H217" s="164"/>
      <c r="I217" s="165"/>
      <c r="K217" s="170"/>
      <c r="L217" s="164"/>
      <c r="M217" s="164"/>
      <c r="N217" s="164"/>
      <c r="O217" s="169"/>
      <c r="P217" s="169"/>
      <c r="Q217" s="169"/>
      <c r="R217" s="171"/>
      <c r="S217" s="156">
        <v>42</v>
      </c>
      <c r="T217" s="156">
        <v>43</v>
      </c>
      <c r="U217" s="89"/>
      <c r="V217" s="89"/>
      <c r="W217" s="89"/>
      <c r="X217" s="124" t="s">
        <v>291</v>
      </c>
      <c r="Y217" s="89"/>
      <c r="Z217" s="89"/>
      <c r="AA217" s="124"/>
      <c r="AC217" s="162">
        <v>4.4081696766114001E-39</v>
      </c>
    </row>
    <row r="218" spans="2:29">
      <c r="B218" s="163" t="s">
        <v>192</v>
      </c>
      <c r="C218" s="164"/>
      <c r="D218" s="164"/>
      <c r="E218" s="164"/>
      <c r="F218" s="164" t="s">
        <v>192</v>
      </c>
      <c r="G218" s="164"/>
      <c r="H218" s="164"/>
      <c r="I218" s="165"/>
      <c r="K218" s="163"/>
      <c r="L218" s="164"/>
      <c r="M218" s="164"/>
      <c r="N218" s="164"/>
      <c r="O218" s="164"/>
      <c r="P218" s="164"/>
      <c r="Q218" s="164"/>
      <c r="R218" s="165"/>
      <c r="S218" s="151">
        <v>44</v>
      </c>
      <c r="T218" s="151">
        <v>45</v>
      </c>
      <c r="U218" s="89"/>
      <c r="V218" s="89"/>
      <c r="W218" s="89"/>
      <c r="X218" s="124" t="s">
        <v>289</v>
      </c>
      <c r="Y218" s="89"/>
      <c r="Z218" s="89"/>
      <c r="AA218" s="124"/>
      <c r="AC218" s="162">
        <v>6.8663624751915997E-44</v>
      </c>
    </row>
    <row r="219" spans="2:29">
      <c r="B219" s="163">
        <v>999</v>
      </c>
      <c r="C219" s="164"/>
      <c r="D219" s="164"/>
      <c r="E219" s="164"/>
      <c r="F219" s="164">
        <v>999</v>
      </c>
      <c r="G219" s="164"/>
      <c r="H219" s="164"/>
      <c r="I219" s="165"/>
      <c r="K219" s="163"/>
      <c r="L219" s="164"/>
      <c r="M219" s="164"/>
      <c r="N219" s="164"/>
      <c r="O219" s="164"/>
      <c r="P219" s="164"/>
      <c r="Q219" s="164"/>
      <c r="R219" s="165"/>
      <c r="S219" s="156">
        <v>46</v>
      </c>
      <c r="T219" s="156">
        <v>47</v>
      </c>
      <c r="X219" s="124" t="s">
        <v>292</v>
      </c>
      <c r="AA219" s="124"/>
      <c r="AC219" s="110">
        <v>0</v>
      </c>
    </row>
    <row r="220" spans="2:29" ht="17.25" thickBot="1">
      <c r="B220" s="166">
        <v>999</v>
      </c>
      <c r="C220" s="167"/>
      <c r="D220" s="167"/>
      <c r="E220" s="167"/>
      <c r="F220" s="167">
        <v>999</v>
      </c>
      <c r="G220" s="167"/>
      <c r="H220" s="167"/>
      <c r="I220" s="168"/>
      <c r="K220" s="166"/>
      <c r="L220" s="167"/>
      <c r="M220" s="167"/>
      <c r="N220" s="167"/>
      <c r="O220" s="167"/>
      <c r="P220" s="167"/>
      <c r="Q220" s="167"/>
      <c r="R220" s="168"/>
      <c r="S220" s="151">
        <v>48</v>
      </c>
      <c r="T220" s="151">
        <v>49</v>
      </c>
      <c r="X220" s="124" t="s">
        <v>289</v>
      </c>
      <c r="AA220" s="124"/>
      <c r="AC220" s="110">
        <v>0</v>
      </c>
    </row>
    <row r="221" spans="2:29" ht="18" thickTop="1" thickBot="1">
      <c r="X221" s="124" t="s">
        <v>291</v>
      </c>
      <c r="AA221" s="124"/>
      <c r="AC221" s="110">
        <v>0</v>
      </c>
    </row>
    <row r="222" spans="2:29" ht="17.25" thickTop="1">
      <c r="K222" s="179">
        <v>50464778</v>
      </c>
      <c r="L222" s="180"/>
      <c r="M222" s="180"/>
      <c r="N222" s="180"/>
      <c r="O222" s="180">
        <v>1</v>
      </c>
      <c r="P222" s="180"/>
      <c r="Q222" s="180"/>
      <c r="R222" s="181"/>
      <c r="X222" s="124" t="s">
        <v>289</v>
      </c>
      <c r="AA222" s="124"/>
      <c r="AC222" s="110">
        <v>0</v>
      </c>
    </row>
    <row r="223" spans="2:29">
      <c r="K223" s="163">
        <v>31208</v>
      </c>
      <c r="L223" s="164"/>
      <c r="M223" s="164"/>
      <c r="N223" s="164"/>
      <c r="O223" s="175">
        <v>43670</v>
      </c>
      <c r="P223" s="175"/>
      <c r="Q223" s="175"/>
      <c r="R223" s="176"/>
      <c r="X223" s="124" t="s">
        <v>291</v>
      </c>
      <c r="AA223" s="124"/>
      <c r="AC223" s="110">
        <v>0</v>
      </c>
    </row>
    <row r="224" spans="2:29">
      <c r="K224" s="163">
        <v>1</v>
      </c>
      <c r="L224" s="164"/>
      <c r="M224" s="164"/>
      <c r="N224" s="164"/>
      <c r="O224" s="164">
        <v>2</v>
      </c>
      <c r="P224" s="164"/>
      <c r="Q224" s="164"/>
      <c r="R224" s="165"/>
      <c r="X224" s="124" t="s">
        <v>289</v>
      </c>
      <c r="AA224" s="124"/>
      <c r="AC224" s="110">
        <v>0</v>
      </c>
    </row>
    <row r="225" spans="11:29">
      <c r="K225" s="178">
        <v>43671</v>
      </c>
      <c r="L225" s="175"/>
      <c r="M225" s="175"/>
      <c r="N225" s="175"/>
      <c r="O225" s="89"/>
      <c r="P225" s="89"/>
      <c r="Q225" s="89"/>
      <c r="R225" s="146"/>
      <c r="X225" s="124" t="s">
        <v>292</v>
      </c>
      <c r="AA225" s="124"/>
      <c r="AC225" s="110">
        <v>0</v>
      </c>
    </row>
    <row r="226" spans="11:29">
      <c r="K226" s="173">
        <v>2499.99609375</v>
      </c>
      <c r="L226" s="175"/>
      <c r="M226" s="175"/>
      <c r="N226" s="175"/>
      <c r="O226" s="173">
        <v>-41864.65625</v>
      </c>
      <c r="P226" s="175"/>
      <c r="Q226" s="175"/>
      <c r="R226" s="175"/>
      <c r="X226" s="124" t="s">
        <v>289</v>
      </c>
      <c r="AC226" s="162">
        <v>3.8205866773283296E-37</v>
      </c>
    </row>
    <row r="227" spans="11:29">
      <c r="K227" s="173">
        <v>127812.4453125</v>
      </c>
      <c r="L227" s="175"/>
      <c r="M227" s="175"/>
      <c r="N227" s="175"/>
      <c r="O227" s="174">
        <v>104661</v>
      </c>
      <c r="P227" s="174"/>
      <c r="Q227" s="174"/>
      <c r="R227" s="177"/>
      <c r="X227" s="124" t="s">
        <v>291</v>
      </c>
      <c r="AC227" s="162">
        <v>9.0043235422119699E-41</v>
      </c>
    </row>
    <row r="228" spans="11:29">
      <c r="K228" s="173">
        <v>474932</v>
      </c>
      <c r="L228" s="174"/>
      <c r="M228" s="174"/>
      <c r="N228" s="174"/>
      <c r="O228" s="174">
        <v>10990.419921875</v>
      </c>
      <c r="P228" s="175"/>
      <c r="Q228" s="175"/>
      <c r="R228" s="176"/>
      <c r="X228" s="124" t="s">
        <v>289</v>
      </c>
      <c r="AC228" s="110">
        <v>0</v>
      </c>
    </row>
    <row r="229" spans="11:29">
      <c r="K229" s="173">
        <v>41294.1796875</v>
      </c>
      <c r="L229" s="175"/>
      <c r="M229" s="175"/>
      <c r="N229" s="175"/>
      <c r="O229" s="174">
        <v>1.1219999790191599</v>
      </c>
      <c r="P229" s="174"/>
      <c r="Q229" s="174"/>
      <c r="R229" s="177"/>
      <c r="X229" s="124" t="s">
        <v>292</v>
      </c>
      <c r="AC229" s="162">
        <v>2.5223372357846699E-43</v>
      </c>
    </row>
    <row r="230" spans="11:29">
      <c r="K230" s="174">
        <v>26</v>
      </c>
      <c r="L230" s="175"/>
      <c r="M230" s="175"/>
      <c r="N230" s="176"/>
      <c r="X230" s="124" t="s">
        <v>289</v>
      </c>
      <c r="AC230" s="162">
        <v>1.4012984643248101E-45</v>
      </c>
    </row>
    <row r="231" spans="11:29">
      <c r="K231" s="173">
        <v>3716.19995117187</v>
      </c>
      <c r="L231" s="174"/>
      <c r="M231" s="174"/>
      <c r="N231" s="174"/>
      <c r="O231" s="174">
        <v>-41866.3984375</v>
      </c>
      <c r="P231" s="174"/>
      <c r="Q231" s="174"/>
      <c r="R231" s="177"/>
      <c r="X231" s="124" t="s">
        <v>291</v>
      </c>
      <c r="AC231" s="162">
        <v>1.4012984643248101E-45</v>
      </c>
    </row>
    <row r="232" spans="11:29">
      <c r="K232" s="163"/>
      <c r="L232" s="164"/>
      <c r="M232" s="164"/>
      <c r="N232" s="164"/>
      <c r="O232" s="89"/>
      <c r="P232" s="89"/>
      <c r="Q232" s="89"/>
      <c r="R232" s="146"/>
      <c r="X232" s="124" t="s">
        <v>289</v>
      </c>
      <c r="AC232" s="162">
        <v>2.5363502204279101E-43</v>
      </c>
    </row>
    <row r="233" spans="11:29">
      <c r="K233" s="145"/>
      <c r="L233" s="89"/>
      <c r="M233" s="89"/>
      <c r="N233" s="89"/>
      <c r="O233" s="89"/>
      <c r="P233" s="89"/>
      <c r="Q233" s="89"/>
      <c r="R233" s="146"/>
      <c r="X233" s="124" t="s">
        <v>291</v>
      </c>
      <c r="AC233" s="110">
        <v>0</v>
      </c>
    </row>
    <row r="234" spans="11:29">
      <c r="K234" s="172"/>
      <c r="L234" s="172"/>
      <c r="M234" s="172"/>
      <c r="N234" s="172"/>
      <c r="O234" s="89"/>
      <c r="P234" s="89"/>
      <c r="Q234" s="89"/>
      <c r="R234" s="146"/>
      <c r="X234" s="124" t="s">
        <v>289</v>
      </c>
    </row>
    <row r="235" spans="11:29">
      <c r="K235" s="172"/>
      <c r="L235" s="172"/>
      <c r="M235" s="172"/>
      <c r="N235" s="172"/>
      <c r="O235" s="89"/>
      <c r="P235" s="89"/>
      <c r="Q235" s="89"/>
      <c r="R235" s="146"/>
      <c r="X235" s="124" t="s">
        <v>291</v>
      </c>
    </row>
    <row r="236" spans="11:29">
      <c r="K236" s="150"/>
      <c r="L236" s="151"/>
      <c r="M236" s="151"/>
      <c r="N236" s="151"/>
      <c r="O236" s="164">
        <v>131072</v>
      </c>
      <c r="P236" s="164"/>
      <c r="Q236" s="164"/>
      <c r="R236" s="165"/>
      <c r="X236" s="124" t="s">
        <v>289</v>
      </c>
    </row>
    <row r="237" spans="11:29">
      <c r="K237" s="163"/>
      <c r="L237" s="164"/>
      <c r="M237" s="164"/>
      <c r="N237" s="164"/>
      <c r="O237" s="89"/>
      <c r="P237" s="89"/>
      <c r="Q237" s="89"/>
      <c r="R237" s="146"/>
      <c r="X237" s="124" t="s">
        <v>292</v>
      </c>
    </row>
    <row r="238" spans="11:29">
      <c r="K238" s="150"/>
      <c r="L238" s="151"/>
      <c r="M238" s="151"/>
      <c r="N238" s="151"/>
      <c r="O238" s="164"/>
      <c r="P238" s="164"/>
      <c r="Q238" s="164"/>
      <c r="R238" s="165"/>
      <c r="X238" s="124" t="s">
        <v>289</v>
      </c>
    </row>
    <row r="239" spans="11:29">
      <c r="K239" s="145"/>
      <c r="L239" s="89"/>
      <c r="M239" s="89"/>
      <c r="N239" s="89"/>
      <c r="O239" s="164">
        <v>64</v>
      </c>
      <c r="P239" s="164"/>
      <c r="Q239" s="164"/>
      <c r="R239" s="165"/>
      <c r="X239" s="124" t="s">
        <v>291</v>
      </c>
    </row>
    <row r="240" spans="11:29">
      <c r="K240" s="150"/>
      <c r="L240" s="151"/>
      <c r="M240" s="151"/>
      <c r="N240" s="151"/>
      <c r="O240" s="89"/>
      <c r="P240" s="89"/>
      <c r="Q240" s="89"/>
      <c r="R240" s="146"/>
      <c r="X240" s="124" t="s">
        <v>289</v>
      </c>
    </row>
    <row r="241" spans="11:24">
      <c r="K241" s="145"/>
      <c r="L241" s="89"/>
      <c r="M241" s="89"/>
      <c r="N241" s="89"/>
      <c r="O241" s="89"/>
      <c r="P241" s="89"/>
      <c r="Q241" s="89"/>
      <c r="R241" s="146"/>
      <c r="X241" s="124" t="s">
        <v>292</v>
      </c>
    </row>
    <row r="242" spans="11:24">
      <c r="K242" s="150"/>
      <c r="L242" s="151"/>
      <c r="M242" s="151"/>
      <c r="N242" s="151"/>
      <c r="O242" s="169"/>
      <c r="P242" s="164"/>
      <c r="Q242" s="164"/>
      <c r="R242" s="165"/>
      <c r="X242" s="124" t="s">
        <v>289</v>
      </c>
    </row>
    <row r="243" spans="11:24">
      <c r="K243" s="170"/>
      <c r="L243" s="164"/>
      <c r="M243" s="164"/>
      <c r="N243" s="164"/>
      <c r="O243" s="169"/>
      <c r="P243" s="169"/>
      <c r="Q243" s="169"/>
      <c r="R243" s="171"/>
      <c r="X243" s="124" t="s">
        <v>291</v>
      </c>
    </row>
    <row r="244" spans="11:24">
      <c r="K244" s="163"/>
      <c r="L244" s="164"/>
      <c r="M244" s="164"/>
      <c r="N244" s="164"/>
      <c r="O244" s="164"/>
      <c r="P244" s="164"/>
      <c r="Q244" s="164"/>
      <c r="R244" s="165"/>
      <c r="X244" s="124" t="s">
        <v>289</v>
      </c>
    </row>
    <row r="245" spans="11:24">
      <c r="K245" s="163"/>
      <c r="L245" s="164"/>
      <c r="M245" s="164"/>
      <c r="N245" s="164"/>
      <c r="O245" s="164"/>
      <c r="P245" s="164"/>
      <c r="Q245" s="164"/>
      <c r="R245" s="165"/>
      <c r="X245" s="124" t="s">
        <v>292</v>
      </c>
    </row>
    <row r="246" spans="11:24" ht="17.25" thickBot="1">
      <c r="K246" s="166"/>
      <c r="L246" s="167"/>
      <c r="M246" s="167"/>
      <c r="N246" s="167"/>
      <c r="O246" s="167"/>
      <c r="P246" s="167"/>
      <c r="Q246" s="167"/>
      <c r="R246" s="168"/>
      <c r="X246" s="124" t="s">
        <v>289</v>
      </c>
    </row>
    <row r="247" spans="11:24" ht="18" thickTop="1" thickBot="1">
      <c r="X247" s="124" t="s">
        <v>291</v>
      </c>
    </row>
    <row r="248" spans="11:24" ht="17.25" thickTop="1">
      <c r="K248" s="179">
        <v>16909578</v>
      </c>
      <c r="L248" s="180"/>
      <c r="M248" s="180"/>
      <c r="N248" s="180"/>
      <c r="O248" s="180">
        <v>16777217</v>
      </c>
      <c r="P248" s="180"/>
      <c r="Q248" s="180"/>
      <c r="R248" s="181"/>
      <c r="X248" s="124" t="s">
        <v>289</v>
      </c>
    </row>
    <row r="249" spans="11:24">
      <c r="K249" s="163"/>
      <c r="L249" s="164"/>
      <c r="M249" s="164"/>
      <c r="N249" s="164"/>
      <c r="O249" s="175"/>
      <c r="P249" s="175"/>
      <c r="Q249" s="175"/>
      <c r="R249" s="176"/>
    </row>
    <row r="250" spans="11:24">
      <c r="K250" s="163">
        <v>2</v>
      </c>
      <c r="L250" s="164"/>
      <c r="M250" s="164"/>
      <c r="N250" s="164"/>
      <c r="O250" s="164">
        <v>3</v>
      </c>
      <c r="P250" s="164"/>
      <c r="Q250" s="164"/>
      <c r="R250" s="165"/>
    </row>
    <row r="251" spans="11:24">
      <c r="K251" s="178">
        <v>43671</v>
      </c>
      <c r="L251" s="175"/>
      <c r="M251" s="175"/>
      <c r="N251" s="175"/>
      <c r="O251" s="89"/>
      <c r="P251" s="89"/>
      <c r="Q251" s="89"/>
      <c r="R251" s="146"/>
    </row>
    <row r="252" spans="11:24">
      <c r="K252" s="173">
        <v>2499.99609375</v>
      </c>
      <c r="L252" s="175"/>
      <c r="M252" s="175"/>
      <c r="N252" s="175"/>
      <c r="O252" s="173">
        <v>-41864.65625</v>
      </c>
      <c r="P252" s="175"/>
      <c r="Q252" s="175"/>
      <c r="R252" s="175"/>
    </row>
    <row r="253" spans="11:24">
      <c r="K253" s="173">
        <v>127812.4453125</v>
      </c>
      <c r="L253" s="175"/>
      <c r="M253" s="175"/>
      <c r="N253" s="175"/>
      <c r="O253" s="174">
        <v>104661</v>
      </c>
      <c r="P253" s="174"/>
      <c r="Q253" s="174"/>
      <c r="R253" s="177"/>
    </row>
    <row r="254" spans="11:24">
      <c r="K254" s="173">
        <v>474932</v>
      </c>
      <c r="L254" s="174"/>
      <c r="M254" s="174"/>
      <c r="N254" s="174"/>
      <c r="O254" s="174">
        <v>10990.419921875</v>
      </c>
      <c r="P254" s="175"/>
      <c r="Q254" s="175"/>
      <c r="R254" s="176"/>
    </row>
    <row r="255" spans="11:24">
      <c r="K255" s="173">
        <v>41294.1796875</v>
      </c>
      <c r="L255" s="175"/>
      <c r="M255" s="175"/>
      <c r="N255" s="175"/>
      <c r="O255" s="174">
        <v>1.1219999790191599</v>
      </c>
      <c r="P255" s="174"/>
      <c r="Q255" s="174"/>
      <c r="R255" s="177"/>
    </row>
    <row r="256" spans="11:24">
      <c r="K256" s="174">
        <v>26</v>
      </c>
      <c r="L256" s="175"/>
      <c r="M256" s="175"/>
      <c r="N256" s="176"/>
    </row>
    <row r="257" spans="11:18">
      <c r="K257" s="173">
        <v>3716.19995117187</v>
      </c>
      <c r="L257" s="174"/>
      <c r="M257" s="174"/>
      <c r="N257" s="174"/>
      <c r="O257" s="174">
        <v>-41866.3984375</v>
      </c>
      <c r="P257" s="174"/>
      <c r="Q257" s="174"/>
      <c r="R257" s="177"/>
    </row>
    <row r="258" spans="11:18">
      <c r="K258" s="163"/>
      <c r="L258" s="164"/>
      <c r="M258" s="164"/>
      <c r="N258" s="164"/>
      <c r="O258" s="89"/>
      <c r="P258" s="89"/>
      <c r="Q258" s="89"/>
      <c r="R258" s="146"/>
    </row>
    <row r="259" spans="11:18">
      <c r="K259" s="145"/>
      <c r="L259" s="89"/>
      <c r="M259" s="89"/>
      <c r="N259" s="89"/>
      <c r="O259" s="89"/>
      <c r="P259" s="89"/>
      <c r="Q259" s="89"/>
      <c r="R259" s="146"/>
    </row>
    <row r="260" spans="11:18">
      <c r="K260" s="172"/>
      <c r="L260" s="172"/>
      <c r="M260" s="172"/>
      <c r="N260" s="172"/>
      <c r="O260" s="89"/>
      <c r="P260" s="89"/>
      <c r="Q260" s="89"/>
      <c r="R260" s="146"/>
    </row>
    <row r="261" spans="11:18">
      <c r="K261" s="172"/>
      <c r="L261" s="172"/>
      <c r="M261" s="172"/>
      <c r="N261" s="172"/>
      <c r="O261" s="89"/>
      <c r="P261" s="89"/>
      <c r="Q261" s="89"/>
      <c r="R261" s="146"/>
    </row>
    <row r="262" spans="11:18">
      <c r="K262" s="150"/>
      <c r="L262" s="151"/>
      <c r="M262" s="151"/>
      <c r="N262" s="151"/>
      <c r="O262" s="164">
        <v>131072</v>
      </c>
      <c r="P262" s="164"/>
      <c r="Q262" s="164"/>
      <c r="R262" s="165"/>
    </row>
    <row r="263" spans="11:18">
      <c r="K263" s="163"/>
      <c r="L263" s="164"/>
      <c r="M263" s="164"/>
      <c r="N263" s="164"/>
      <c r="O263" s="89"/>
      <c r="P263" s="89"/>
      <c r="Q263" s="89"/>
      <c r="R263" s="146"/>
    </row>
    <row r="264" spans="11:18">
      <c r="K264" s="150"/>
      <c r="L264" s="151"/>
      <c r="M264" s="151"/>
      <c r="N264" s="151"/>
      <c r="O264" s="164"/>
      <c r="P264" s="164"/>
      <c r="Q264" s="164"/>
      <c r="R264" s="165"/>
    </row>
    <row r="265" spans="11:18">
      <c r="K265" s="145"/>
      <c r="L265" s="89"/>
      <c r="M265" s="89"/>
      <c r="N265" s="89"/>
      <c r="O265" s="164">
        <v>64</v>
      </c>
      <c r="P265" s="164"/>
      <c r="Q265" s="164"/>
      <c r="R265" s="165"/>
    </row>
    <row r="266" spans="11:18">
      <c r="K266" s="150"/>
      <c r="L266" s="151"/>
      <c r="M266" s="151"/>
      <c r="N266" s="151"/>
      <c r="O266" s="89"/>
      <c r="P266" s="89"/>
      <c r="Q266" s="89"/>
      <c r="R266" s="146"/>
    </row>
    <row r="267" spans="11:18">
      <c r="K267" s="145"/>
      <c r="L267" s="89"/>
      <c r="M267" s="89"/>
      <c r="N267" s="89"/>
      <c r="O267" s="89"/>
      <c r="P267" s="89"/>
      <c r="Q267" s="89"/>
      <c r="R267" s="146"/>
    </row>
    <row r="268" spans="11:18">
      <c r="K268" s="150"/>
      <c r="L268" s="151"/>
      <c r="M268" s="151"/>
      <c r="N268" s="151"/>
      <c r="O268" s="169"/>
      <c r="P268" s="164"/>
      <c r="Q268" s="164"/>
      <c r="R268" s="165"/>
    </row>
    <row r="269" spans="11:18">
      <c r="K269" s="170"/>
      <c r="L269" s="164"/>
      <c r="M269" s="164"/>
      <c r="N269" s="164"/>
      <c r="O269" s="169"/>
      <c r="P269" s="169"/>
      <c r="Q269" s="169"/>
      <c r="R269" s="171"/>
    </row>
    <row r="270" spans="11:18">
      <c r="K270" s="163"/>
      <c r="L270" s="164"/>
      <c r="M270" s="164"/>
      <c r="N270" s="164"/>
      <c r="O270" s="164"/>
      <c r="P270" s="164"/>
      <c r="Q270" s="164"/>
      <c r="R270" s="165"/>
    </row>
    <row r="271" spans="11:18">
      <c r="K271" s="163"/>
      <c r="L271" s="164"/>
      <c r="M271" s="164"/>
      <c r="N271" s="164"/>
      <c r="O271" s="164"/>
      <c r="P271" s="164"/>
      <c r="Q271" s="164"/>
      <c r="R271" s="165"/>
    </row>
    <row r="272" spans="11:18" ht="17.25" thickBot="1">
      <c r="K272" s="166"/>
      <c r="L272" s="167"/>
      <c r="M272" s="167"/>
      <c r="N272" s="167"/>
      <c r="O272" s="167"/>
      <c r="P272" s="167"/>
      <c r="Q272" s="167"/>
      <c r="R272" s="168"/>
    </row>
    <row r="273" ht="17.25" thickTop="1"/>
  </sheetData>
  <mergeCells count="309">
    <mergeCell ref="B59:I59"/>
    <mergeCell ref="B60:C60"/>
    <mergeCell ref="K59:R59"/>
    <mergeCell ref="K60:L60"/>
    <mergeCell ref="B87:I87"/>
    <mergeCell ref="K87:R87"/>
    <mergeCell ref="K2:N2"/>
    <mergeCell ref="F2:I2"/>
    <mergeCell ref="B43:I45"/>
    <mergeCell ref="K43:R45"/>
    <mergeCell ref="B51:I53"/>
    <mergeCell ref="K51:R53"/>
    <mergeCell ref="K3:R5"/>
    <mergeCell ref="B3:I5"/>
    <mergeCell ref="B2:E2"/>
    <mergeCell ref="O118:R118"/>
    <mergeCell ref="O119:R119"/>
    <mergeCell ref="K120:N120"/>
    <mergeCell ref="O120:R120"/>
    <mergeCell ref="K121:N121"/>
    <mergeCell ref="B121:E121"/>
    <mergeCell ref="B88:D88"/>
    <mergeCell ref="K88:M88"/>
    <mergeCell ref="B102:I103"/>
    <mergeCell ref="B104:E104"/>
    <mergeCell ref="K102:R103"/>
    <mergeCell ref="B118:E118"/>
    <mergeCell ref="F118:I118"/>
    <mergeCell ref="K118:N118"/>
    <mergeCell ref="B122:E122"/>
    <mergeCell ref="K122:N122"/>
    <mergeCell ref="O124:R124"/>
    <mergeCell ref="K125:N125"/>
    <mergeCell ref="F119:I119"/>
    <mergeCell ref="F120:I120"/>
    <mergeCell ref="B120:E120"/>
    <mergeCell ref="F124:I124"/>
    <mergeCell ref="B125:E125"/>
    <mergeCell ref="B123:E123"/>
    <mergeCell ref="F122:I122"/>
    <mergeCell ref="O135:R135"/>
    <mergeCell ref="F135:I135"/>
    <mergeCell ref="O138:R138"/>
    <mergeCell ref="F138:I138"/>
    <mergeCell ref="B139:E139"/>
    <mergeCell ref="K139:N139"/>
    <mergeCell ref="F139:I139"/>
    <mergeCell ref="O139:R139"/>
    <mergeCell ref="K126:N126"/>
    <mergeCell ref="O132:R132"/>
    <mergeCell ref="F132:I132"/>
    <mergeCell ref="B133:E133"/>
    <mergeCell ref="K133:N133"/>
    <mergeCell ref="B131:E131"/>
    <mergeCell ref="F131:I131"/>
    <mergeCell ref="K141:N141"/>
    <mergeCell ref="O141:R141"/>
    <mergeCell ref="K142:N142"/>
    <mergeCell ref="O142:R142"/>
    <mergeCell ref="B140:E140"/>
    <mergeCell ref="K140:N140"/>
    <mergeCell ref="F140:I140"/>
    <mergeCell ref="O140:R140"/>
    <mergeCell ref="B141:E141"/>
    <mergeCell ref="F141:I141"/>
    <mergeCell ref="O148:R148"/>
    <mergeCell ref="K149:N149"/>
    <mergeCell ref="O149:R149"/>
    <mergeCell ref="F123:I123"/>
    <mergeCell ref="O161:R161"/>
    <mergeCell ref="O164:R164"/>
    <mergeCell ref="K165:N165"/>
    <mergeCell ref="O165:R165"/>
    <mergeCell ref="K148:N148"/>
    <mergeCell ref="O150:R150"/>
    <mergeCell ref="K151:N151"/>
    <mergeCell ref="K152:N152"/>
    <mergeCell ref="O158:R158"/>
    <mergeCell ref="K159:N159"/>
    <mergeCell ref="K153:N153"/>
    <mergeCell ref="K154:N154"/>
    <mergeCell ref="O153:R153"/>
    <mergeCell ref="K144:N144"/>
    <mergeCell ref="O144:R144"/>
    <mergeCell ref="O145:R145"/>
    <mergeCell ref="K146:N146"/>
    <mergeCell ref="O146:R146"/>
    <mergeCell ref="K147:N147"/>
    <mergeCell ref="F142:I142"/>
    <mergeCell ref="K170:N170"/>
    <mergeCell ref="O170:R170"/>
    <mergeCell ref="K171:N171"/>
    <mergeCell ref="O171:R171"/>
    <mergeCell ref="K172:N172"/>
    <mergeCell ref="O172:R172"/>
    <mergeCell ref="B124:E124"/>
    <mergeCell ref="K150:N150"/>
    <mergeCell ref="F125:I125"/>
    <mergeCell ref="B126:E126"/>
    <mergeCell ref="O151:R151"/>
    <mergeCell ref="B127:E127"/>
    <mergeCell ref="F127:I127"/>
    <mergeCell ref="F129:I129"/>
    <mergeCell ref="B130:E130"/>
    <mergeCell ref="F130:I130"/>
    <mergeCell ref="K167:N167"/>
    <mergeCell ref="O167:R167"/>
    <mergeCell ref="K168:N168"/>
    <mergeCell ref="O168:R168"/>
    <mergeCell ref="K145:N145"/>
    <mergeCell ref="K166:N166"/>
    <mergeCell ref="O166:R166"/>
    <mergeCell ref="B142:E142"/>
    <mergeCell ref="K177:N177"/>
    <mergeCell ref="O177:R177"/>
    <mergeCell ref="K178:N178"/>
    <mergeCell ref="K179:N179"/>
    <mergeCell ref="O179:R179"/>
    <mergeCell ref="K180:N180"/>
    <mergeCell ref="K173:N173"/>
    <mergeCell ref="K174:N174"/>
    <mergeCell ref="O174:R174"/>
    <mergeCell ref="K175:N175"/>
    <mergeCell ref="O175:R175"/>
    <mergeCell ref="K176:N176"/>
    <mergeCell ref="O176:R176"/>
    <mergeCell ref="O192:R192"/>
    <mergeCell ref="K193:N193"/>
    <mergeCell ref="O193:R193"/>
    <mergeCell ref="K194:N194"/>
    <mergeCell ref="O194:R194"/>
    <mergeCell ref="O184:R184"/>
    <mergeCell ref="K185:N185"/>
    <mergeCell ref="O187:R187"/>
    <mergeCell ref="O190:R190"/>
    <mergeCell ref="K191:N191"/>
    <mergeCell ref="O191:R191"/>
    <mergeCell ref="K220:N220"/>
    <mergeCell ref="O220:R220"/>
    <mergeCell ref="O210:R210"/>
    <mergeCell ref="K211:N211"/>
    <mergeCell ref="O213:R213"/>
    <mergeCell ref="O216:R216"/>
    <mergeCell ref="K217:N217"/>
    <mergeCell ref="O217:R217"/>
    <mergeCell ref="K203:N203"/>
    <mergeCell ref="O203:R203"/>
    <mergeCell ref="K204:N204"/>
    <mergeCell ref="K205:N205"/>
    <mergeCell ref="O205:R205"/>
    <mergeCell ref="K206:N206"/>
    <mergeCell ref="B170:E170"/>
    <mergeCell ref="F170:I170"/>
    <mergeCell ref="F171:I171"/>
    <mergeCell ref="B172:E172"/>
    <mergeCell ref="F172:I172"/>
    <mergeCell ref="B173:E173"/>
    <mergeCell ref="K218:N218"/>
    <mergeCell ref="O218:R218"/>
    <mergeCell ref="K219:N219"/>
    <mergeCell ref="O219:R219"/>
    <mergeCell ref="K199:N199"/>
    <mergeCell ref="K200:N200"/>
    <mergeCell ref="O200:R200"/>
    <mergeCell ref="K201:N201"/>
    <mergeCell ref="O201:R201"/>
    <mergeCell ref="K202:N202"/>
    <mergeCell ref="O202:R202"/>
    <mergeCell ref="K196:N196"/>
    <mergeCell ref="O196:R196"/>
    <mergeCell ref="K197:N197"/>
    <mergeCell ref="O197:R197"/>
    <mergeCell ref="K198:N198"/>
    <mergeCell ref="O198:R198"/>
    <mergeCell ref="K192:N192"/>
    <mergeCell ref="B177:E177"/>
    <mergeCell ref="F177:I177"/>
    <mergeCell ref="B178:E178"/>
    <mergeCell ref="B179:E179"/>
    <mergeCell ref="F179:I179"/>
    <mergeCell ref="F181:I181"/>
    <mergeCell ref="B174:E174"/>
    <mergeCell ref="F174:I174"/>
    <mergeCell ref="B175:E175"/>
    <mergeCell ref="F175:I175"/>
    <mergeCell ref="B176:E176"/>
    <mergeCell ref="F176:I176"/>
    <mergeCell ref="F187:I187"/>
    <mergeCell ref="F190:I190"/>
    <mergeCell ref="B191:E191"/>
    <mergeCell ref="F191:I191"/>
    <mergeCell ref="B192:E192"/>
    <mergeCell ref="F192:I192"/>
    <mergeCell ref="B182:E182"/>
    <mergeCell ref="F182:I182"/>
    <mergeCell ref="B183:E183"/>
    <mergeCell ref="F183:I183"/>
    <mergeCell ref="F184:I184"/>
    <mergeCell ref="B185:E185"/>
    <mergeCell ref="F197:I197"/>
    <mergeCell ref="B198:E198"/>
    <mergeCell ref="F198:I198"/>
    <mergeCell ref="B199:E199"/>
    <mergeCell ref="B200:E200"/>
    <mergeCell ref="F200:I200"/>
    <mergeCell ref="B193:E193"/>
    <mergeCell ref="F193:I193"/>
    <mergeCell ref="B194:E194"/>
    <mergeCell ref="F194:I194"/>
    <mergeCell ref="B196:E196"/>
    <mergeCell ref="F196:I196"/>
    <mergeCell ref="B204:E204"/>
    <mergeCell ref="B205:E205"/>
    <mergeCell ref="F205:I205"/>
    <mergeCell ref="F207:I207"/>
    <mergeCell ref="B208:E208"/>
    <mergeCell ref="F208:I208"/>
    <mergeCell ref="B201:E201"/>
    <mergeCell ref="F201:I201"/>
    <mergeCell ref="B202:E202"/>
    <mergeCell ref="F202:I202"/>
    <mergeCell ref="B203:E203"/>
    <mergeCell ref="F203:I203"/>
    <mergeCell ref="K222:N222"/>
    <mergeCell ref="O222:R222"/>
    <mergeCell ref="K223:N223"/>
    <mergeCell ref="O223:R223"/>
    <mergeCell ref="K224:N224"/>
    <mergeCell ref="O224:R224"/>
    <mergeCell ref="B220:E220"/>
    <mergeCell ref="F220:I220"/>
    <mergeCell ref="K208:N208"/>
    <mergeCell ref="K209:N209"/>
    <mergeCell ref="O212:R212"/>
    <mergeCell ref="F212:I212"/>
    <mergeCell ref="B217:E217"/>
    <mergeCell ref="F217:I217"/>
    <mergeCell ref="B218:E218"/>
    <mergeCell ref="F218:I218"/>
    <mergeCell ref="B219:E219"/>
    <mergeCell ref="F219:I219"/>
    <mergeCell ref="B209:E209"/>
    <mergeCell ref="F209:I209"/>
    <mergeCell ref="F210:I210"/>
    <mergeCell ref="B211:E211"/>
    <mergeCell ref="F213:I213"/>
    <mergeCell ref="F216:I216"/>
    <mergeCell ref="K229:N229"/>
    <mergeCell ref="O229:R229"/>
    <mergeCell ref="K230:N230"/>
    <mergeCell ref="K231:N231"/>
    <mergeCell ref="O231:R231"/>
    <mergeCell ref="K232:N232"/>
    <mergeCell ref="K225:N225"/>
    <mergeCell ref="K226:N226"/>
    <mergeCell ref="O226:R226"/>
    <mergeCell ref="K227:N227"/>
    <mergeCell ref="O227:R227"/>
    <mergeCell ref="K228:N228"/>
    <mergeCell ref="O228:R228"/>
    <mergeCell ref="O242:R242"/>
    <mergeCell ref="K243:N243"/>
    <mergeCell ref="O243:R243"/>
    <mergeCell ref="K244:N244"/>
    <mergeCell ref="O244:R244"/>
    <mergeCell ref="K245:N245"/>
    <mergeCell ref="O245:R245"/>
    <mergeCell ref="K234:N234"/>
    <mergeCell ref="K235:N235"/>
    <mergeCell ref="O236:R236"/>
    <mergeCell ref="K237:N237"/>
    <mergeCell ref="O238:R238"/>
    <mergeCell ref="O239:R239"/>
    <mergeCell ref="K250:N250"/>
    <mergeCell ref="O250:R250"/>
    <mergeCell ref="K251:N251"/>
    <mergeCell ref="K252:N252"/>
    <mergeCell ref="O252:R252"/>
    <mergeCell ref="K253:N253"/>
    <mergeCell ref="O253:R253"/>
    <mergeCell ref="K246:N246"/>
    <mergeCell ref="O246:R246"/>
    <mergeCell ref="K248:N248"/>
    <mergeCell ref="O248:R248"/>
    <mergeCell ref="K249:N249"/>
    <mergeCell ref="O249:R249"/>
    <mergeCell ref="K258:N258"/>
    <mergeCell ref="K260:N260"/>
    <mergeCell ref="K261:N261"/>
    <mergeCell ref="O262:R262"/>
    <mergeCell ref="K263:N263"/>
    <mergeCell ref="O264:R264"/>
    <mergeCell ref="K254:N254"/>
    <mergeCell ref="O254:R254"/>
    <mergeCell ref="K255:N255"/>
    <mergeCell ref="O255:R255"/>
    <mergeCell ref="K256:N256"/>
    <mergeCell ref="K257:N257"/>
    <mergeCell ref="O257:R257"/>
    <mergeCell ref="K271:N271"/>
    <mergeCell ref="O271:R271"/>
    <mergeCell ref="K272:N272"/>
    <mergeCell ref="O272:R272"/>
    <mergeCell ref="O265:R265"/>
    <mergeCell ref="O268:R268"/>
    <mergeCell ref="K269:N269"/>
    <mergeCell ref="O269:R269"/>
    <mergeCell ref="K270:N270"/>
    <mergeCell ref="O270:R270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F4BD-5301-4D26-A07D-C5D4B929A6D8}">
  <dimension ref="B1:AI147"/>
  <sheetViews>
    <sheetView topLeftCell="A91" zoomScale="55" zoomScaleNormal="55" workbookViewId="0">
      <selection activeCell="AK33" sqref="AK33"/>
    </sheetView>
  </sheetViews>
  <sheetFormatPr defaultRowHeight="16.5"/>
  <cols>
    <col min="1" max="1" width="5.375" style="103" customWidth="1"/>
    <col min="2" max="23" width="9" style="103"/>
    <col min="24" max="24" width="14.25" style="103" bestFit="1" customWidth="1"/>
    <col min="25" max="25" width="12.875" style="103" bestFit="1" customWidth="1"/>
    <col min="26" max="16384" width="9" style="103"/>
  </cols>
  <sheetData>
    <row r="1" spans="2:29" ht="17.25" thickBot="1">
      <c r="B1" s="111" t="s">
        <v>314</v>
      </c>
      <c r="K1" s="103" t="s">
        <v>241</v>
      </c>
    </row>
    <row r="2" spans="2:29" ht="17.25" thickTop="1">
      <c r="B2" s="186" t="s">
        <v>244</v>
      </c>
      <c r="C2" s="187"/>
      <c r="D2" s="187"/>
      <c r="E2" s="187"/>
      <c r="F2" s="180" t="s">
        <v>192</v>
      </c>
      <c r="G2" s="180"/>
      <c r="H2" s="180"/>
      <c r="I2" s="181"/>
      <c r="K2" s="186">
        <v>20240905</v>
      </c>
      <c r="L2" s="187"/>
      <c r="M2" s="187"/>
      <c r="N2" s="187"/>
      <c r="O2" s="128"/>
      <c r="P2" s="128"/>
      <c r="Q2" s="128"/>
      <c r="R2" s="144"/>
      <c r="T2" s="148">
        <v>0</v>
      </c>
      <c r="U2" s="149">
        <v>1</v>
      </c>
      <c r="V2" s="149">
        <v>2</v>
      </c>
      <c r="W2" s="149">
        <v>3</v>
      </c>
      <c r="X2" s="128">
        <v>4</v>
      </c>
      <c r="Y2" s="128">
        <v>5</v>
      </c>
      <c r="Z2" s="128">
        <v>6</v>
      </c>
      <c r="AA2" s="144">
        <v>7</v>
      </c>
      <c r="AC2" s="162">
        <v>3.3048242600814898E-38</v>
      </c>
    </row>
    <row r="3" spans="2:29">
      <c r="B3" s="178" t="s">
        <v>243</v>
      </c>
      <c r="C3" s="175"/>
      <c r="D3" s="175"/>
      <c r="E3" s="175"/>
      <c r="F3" s="175"/>
      <c r="G3" s="175"/>
      <c r="H3" s="175"/>
      <c r="I3" s="176"/>
      <c r="K3" s="173" t="s">
        <v>242</v>
      </c>
      <c r="L3" s="174"/>
      <c r="M3" s="174"/>
      <c r="N3" s="174"/>
      <c r="O3" s="174"/>
      <c r="P3" s="174"/>
      <c r="Q3" s="174"/>
      <c r="R3" s="177"/>
      <c r="T3" s="145">
        <v>8</v>
      </c>
      <c r="U3" s="89">
        <v>9</v>
      </c>
      <c r="V3" s="89">
        <v>10</v>
      </c>
      <c r="W3" s="89">
        <v>11</v>
      </c>
      <c r="X3" s="89">
        <v>12</v>
      </c>
      <c r="Y3" s="89">
        <v>13</v>
      </c>
      <c r="Z3" s="89">
        <v>14</v>
      </c>
      <c r="AA3" s="146">
        <v>15</v>
      </c>
      <c r="AC3" s="162">
        <v>5.74532370373175E-42</v>
      </c>
    </row>
    <row r="4" spans="2:29">
      <c r="B4" s="178"/>
      <c r="C4" s="175"/>
      <c r="D4" s="175"/>
      <c r="E4" s="175"/>
      <c r="F4" s="175"/>
      <c r="G4" s="175"/>
      <c r="H4" s="175"/>
      <c r="I4" s="176"/>
      <c r="K4" s="173"/>
      <c r="L4" s="174"/>
      <c r="M4" s="174"/>
      <c r="N4" s="174"/>
      <c r="O4" s="174"/>
      <c r="P4" s="174"/>
      <c r="Q4" s="174"/>
      <c r="R4" s="177"/>
      <c r="T4" s="150">
        <v>16</v>
      </c>
      <c r="U4" s="151">
        <v>17</v>
      </c>
      <c r="V4" s="151">
        <v>18</v>
      </c>
      <c r="W4" s="151">
        <v>19</v>
      </c>
      <c r="X4" s="89">
        <v>20</v>
      </c>
      <c r="Y4" s="89">
        <v>21</v>
      </c>
      <c r="Z4" s="89">
        <v>22</v>
      </c>
      <c r="AA4" s="146">
        <v>23</v>
      </c>
      <c r="AC4" s="162">
        <v>6.6380300722812503E-7</v>
      </c>
    </row>
    <row r="5" spans="2:29">
      <c r="B5" s="178"/>
      <c r="C5" s="175"/>
      <c r="D5" s="175"/>
      <c r="E5" s="175"/>
      <c r="F5" s="175"/>
      <c r="G5" s="175"/>
      <c r="H5" s="175"/>
      <c r="I5" s="176"/>
      <c r="K5" s="173"/>
      <c r="L5" s="174"/>
      <c r="M5" s="174"/>
      <c r="N5" s="174"/>
      <c r="O5" s="174"/>
      <c r="P5" s="174"/>
      <c r="Q5" s="174"/>
      <c r="R5" s="177"/>
      <c r="T5" s="145">
        <v>24</v>
      </c>
      <c r="U5" s="89">
        <v>25</v>
      </c>
      <c r="V5" s="89">
        <v>26</v>
      </c>
      <c r="W5" s="89">
        <v>27</v>
      </c>
      <c r="X5" s="89">
        <v>28</v>
      </c>
      <c r="Y5" s="89">
        <v>29</v>
      </c>
      <c r="Z5" s="89">
        <v>30</v>
      </c>
      <c r="AA5" s="146">
        <v>31</v>
      </c>
      <c r="AC5" s="162">
        <v>1.024251256726E-11</v>
      </c>
    </row>
    <row r="6" spans="2:29">
      <c r="B6" s="150"/>
      <c r="C6" s="151"/>
      <c r="D6" s="151"/>
      <c r="E6" s="151"/>
      <c r="F6" s="89"/>
      <c r="G6" s="89"/>
      <c r="H6" s="89"/>
      <c r="I6" s="146"/>
      <c r="K6" s="150"/>
      <c r="L6" s="151"/>
      <c r="M6" s="151"/>
      <c r="N6" s="151"/>
      <c r="O6" s="89"/>
      <c r="P6" s="89"/>
      <c r="Q6" s="89"/>
      <c r="R6" s="146"/>
      <c r="T6" s="150">
        <v>32</v>
      </c>
      <c r="U6" s="151">
        <v>33</v>
      </c>
      <c r="V6" s="151">
        <v>34</v>
      </c>
      <c r="W6" s="151">
        <v>35</v>
      </c>
      <c r="X6" s="89">
        <v>36</v>
      </c>
      <c r="Y6" s="89">
        <v>37</v>
      </c>
      <c r="Z6" s="89">
        <v>38</v>
      </c>
      <c r="AA6" s="146">
        <v>39</v>
      </c>
      <c r="AC6" s="162">
        <v>2.3314434827170701E-9</v>
      </c>
    </row>
    <row r="7" spans="2:29">
      <c r="B7" s="145"/>
      <c r="C7" s="89"/>
      <c r="D7" s="89"/>
      <c r="E7" s="89"/>
      <c r="F7" s="89"/>
      <c r="G7" s="89"/>
      <c r="H7" s="89"/>
      <c r="I7" s="146"/>
      <c r="K7" s="145"/>
      <c r="L7" s="89"/>
      <c r="M7" s="89"/>
      <c r="N7" s="89"/>
      <c r="O7" s="89"/>
      <c r="P7" s="89"/>
      <c r="Q7" s="89"/>
      <c r="R7" s="146"/>
      <c r="T7" s="145">
        <v>40</v>
      </c>
      <c r="U7" s="89">
        <v>41</v>
      </c>
      <c r="V7" s="89">
        <v>42</v>
      </c>
      <c r="W7" s="89">
        <v>43</v>
      </c>
      <c r="X7" s="89">
        <v>44</v>
      </c>
      <c r="Y7" s="89">
        <v>45</v>
      </c>
      <c r="Z7" s="89">
        <v>46</v>
      </c>
      <c r="AA7" s="146">
        <v>47</v>
      </c>
      <c r="AC7" s="110">
        <v>1.7187820049002699E-4</v>
      </c>
    </row>
    <row r="8" spans="2:29">
      <c r="B8" s="150"/>
      <c r="C8" s="151"/>
      <c r="D8" s="151"/>
      <c r="E8" s="151"/>
      <c r="F8" s="89"/>
      <c r="G8" s="89"/>
      <c r="H8" s="89"/>
      <c r="I8" s="146"/>
      <c r="K8" s="150"/>
      <c r="L8" s="151"/>
      <c r="M8" s="151"/>
      <c r="N8" s="151"/>
      <c r="O8" s="89"/>
      <c r="P8" s="89"/>
      <c r="Q8" s="89"/>
      <c r="R8" s="146"/>
      <c r="T8" s="150">
        <v>48</v>
      </c>
      <c r="U8" s="151">
        <v>49</v>
      </c>
      <c r="V8" s="151">
        <v>50</v>
      </c>
      <c r="W8" s="151">
        <v>51</v>
      </c>
      <c r="X8" s="89">
        <v>52</v>
      </c>
      <c r="Y8" s="89">
        <v>53</v>
      </c>
      <c r="Z8" s="89">
        <v>54</v>
      </c>
      <c r="AA8" s="146">
        <v>55</v>
      </c>
      <c r="AC8" s="162">
        <v>4.0061488848497297E-11</v>
      </c>
    </row>
    <row r="9" spans="2:29">
      <c r="B9" s="145"/>
      <c r="C9" s="89"/>
      <c r="D9" s="89"/>
      <c r="E9" s="89"/>
      <c r="F9" s="89"/>
      <c r="G9" s="89"/>
      <c r="H9" s="89"/>
      <c r="I9" s="146"/>
      <c r="K9" s="145"/>
      <c r="L9" s="89"/>
      <c r="M9" s="89"/>
      <c r="N9" s="89"/>
      <c r="O9" s="89"/>
      <c r="P9" s="89"/>
      <c r="Q9" s="89"/>
      <c r="R9" s="146"/>
      <c r="T9" s="145">
        <v>56</v>
      </c>
      <c r="U9" s="89">
        <v>57</v>
      </c>
      <c r="V9" s="89">
        <v>58</v>
      </c>
      <c r="W9" s="89">
        <v>59</v>
      </c>
      <c r="X9" s="89">
        <v>60</v>
      </c>
      <c r="Y9" s="89">
        <v>61</v>
      </c>
      <c r="Z9" s="89">
        <v>62</v>
      </c>
      <c r="AA9" s="146">
        <v>63</v>
      </c>
      <c r="AC9" s="162">
        <v>4.7941727528927799E-39</v>
      </c>
    </row>
    <row r="10" spans="2:29">
      <c r="B10" s="150"/>
      <c r="C10" s="151"/>
      <c r="D10" s="151"/>
      <c r="E10" s="151"/>
      <c r="F10" s="89"/>
      <c r="G10" s="89"/>
      <c r="H10" s="89"/>
      <c r="I10" s="146"/>
      <c r="K10" s="150"/>
      <c r="L10" s="151"/>
      <c r="M10" s="151"/>
      <c r="N10" s="151"/>
      <c r="O10" s="89"/>
      <c r="P10" s="89"/>
      <c r="Q10" s="89"/>
      <c r="R10" s="146"/>
      <c r="T10" s="150">
        <v>64</v>
      </c>
      <c r="U10" s="151">
        <v>65</v>
      </c>
      <c r="V10" s="151">
        <v>66</v>
      </c>
      <c r="W10" s="151">
        <v>67</v>
      </c>
      <c r="X10" s="89">
        <v>68</v>
      </c>
      <c r="Y10" s="89">
        <v>69</v>
      </c>
      <c r="Z10" s="89">
        <v>70</v>
      </c>
      <c r="AA10" s="146">
        <v>71</v>
      </c>
      <c r="AC10" s="110">
        <v>0</v>
      </c>
    </row>
    <row r="11" spans="2:29">
      <c r="B11" s="145"/>
      <c r="C11" s="89"/>
      <c r="D11" s="89"/>
      <c r="E11" s="89"/>
      <c r="F11" s="89"/>
      <c r="G11" s="89"/>
      <c r="H11" s="89"/>
      <c r="I11" s="146"/>
      <c r="K11" s="145"/>
      <c r="L11" s="89"/>
      <c r="M11" s="89"/>
      <c r="N11" s="89"/>
      <c r="O11" s="89"/>
      <c r="P11" s="89"/>
      <c r="Q11" s="89"/>
      <c r="R11" s="146"/>
      <c r="T11" s="145">
        <v>72</v>
      </c>
      <c r="U11" s="89">
        <v>73</v>
      </c>
      <c r="V11" s="89">
        <v>74</v>
      </c>
      <c r="W11" s="89">
        <v>75</v>
      </c>
      <c r="X11" s="89">
        <v>76</v>
      </c>
      <c r="Y11" s="89">
        <v>77</v>
      </c>
      <c r="Z11" s="89">
        <v>78</v>
      </c>
      <c r="AA11" s="146">
        <v>79</v>
      </c>
      <c r="AC11" s="110">
        <v>0</v>
      </c>
    </row>
    <row r="12" spans="2:29">
      <c r="B12" s="150"/>
      <c r="C12" s="151"/>
      <c r="D12" s="151"/>
      <c r="E12" s="151"/>
      <c r="F12" s="89"/>
      <c r="G12" s="89"/>
      <c r="H12" s="89"/>
      <c r="I12" s="146"/>
      <c r="K12" s="150"/>
      <c r="L12" s="151"/>
      <c r="M12" s="151"/>
      <c r="N12" s="151"/>
      <c r="O12" s="89"/>
      <c r="P12" s="89"/>
      <c r="Q12" s="89"/>
      <c r="R12" s="146"/>
      <c r="T12" s="150">
        <v>80</v>
      </c>
      <c r="U12" s="151">
        <v>81</v>
      </c>
      <c r="V12" s="151">
        <v>82</v>
      </c>
      <c r="W12" s="151">
        <v>83</v>
      </c>
      <c r="X12" s="89">
        <v>84</v>
      </c>
      <c r="Y12" s="89">
        <v>85</v>
      </c>
      <c r="Z12" s="89">
        <v>86</v>
      </c>
      <c r="AA12" s="146">
        <v>87</v>
      </c>
      <c r="AC12" s="110">
        <v>0</v>
      </c>
    </row>
    <row r="13" spans="2:29">
      <c r="B13" s="145"/>
      <c r="C13" s="89"/>
      <c r="D13" s="89"/>
      <c r="E13" s="89"/>
      <c r="F13" s="89"/>
      <c r="G13" s="89"/>
      <c r="H13" s="89"/>
      <c r="I13" s="146"/>
      <c r="K13" s="145"/>
      <c r="L13" s="89"/>
      <c r="M13" s="89"/>
      <c r="N13" s="89"/>
      <c r="O13" s="89"/>
      <c r="P13" s="89"/>
      <c r="Q13" s="89"/>
      <c r="R13" s="146"/>
      <c r="T13" s="145">
        <v>88</v>
      </c>
      <c r="U13" s="89">
        <v>89</v>
      </c>
      <c r="V13" s="89">
        <v>90</v>
      </c>
      <c r="W13" s="89">
        <v>91</v>
      </c>
      <c r="X13" s="89">
        <v>92</v>
      </c>
      <c r="Y13" s="89">
        <v>93</v>
      </c>
      <c r="Z13" s="89">
        <v>94</v>
      </c>
      <c r="AA13" s="146">
        <v>95</v>
      </c>
      <c r="AC13" s="110">
        <v>0</v>
      </c>
    </row>
    <row r="14" spans="2:29">
      <c r="B14" s="150"/>
      <c r="C14" s="151"/>
      <c r="D14" s="151"/>
      <c r="E14" s="151"/>
      <c r="F14" s="89"/>
      <c r="G14" s="89"/>
      <c r="H14" s="89"/>
      <c r="I14" s="146"/>
      <c r="K14" s="150"/>
      <c r="L14" s="151"/>
      <c r="M14" s="151"/>
      <c r="N14" s="151"/>
      <c r="O14" s="89"/>
      <c r="P14" s="89"/>
      <c r="Q14" s="89"/>
      <c r="R14" s="146"/>
      <c r="T14" s="150">
        <v>96</v>
      </c>
      <c r="U14" s="151">
        <v>97</v>
      </c>
      <c r="V14" s="151">
        <v>98</v>
      </c>
      <c r="W14" s="151">
        <v>99</v>
      </c>
      <c r="X14" s="89">
        <v>100</v>
      </c>
      <c r="Y14" s="89">
        <v>101</v>
      </c>
      <c r="Z14" s="89">
        <v>102</v>
      </c>
      <c r="AA14" s="146">
        <v>103</v>
      </c>
      <c r="AC14" s="110">
        <v>0</v>
      </c>
    </row>
    <row r="15" spans="2:29">
      <c r="B15" s="145"/>
      <c r="C15" s="89"/>
      <c r="D15" s="89"/>
      <c r="E15" s="89"/>
      <c r="F15" s="89"/>
      <c r="G15" s="89"/>
      <c r="H15" s="89"/>
      <c r="I15" s="146"/>
      <c r="K15" s="145"/>
      <c r="L15" s="89"/>
      <c r="M15" s="89"/>
      <c r="N15" s="89"/>
      <c r="O15" s="89"/>
      <c r="P15" s="89"/>
      <c r="Q15" s="89"/>
      <c r="R15" s="146"/>
      <c r="T15" s="145">
        <v>104</v>
      </c>
      <c r="U15" s="89">
        <v>105</v>
      </c>
      <c r="V15" s="89">
        <v>106</v>
      </c>
      <c r="W15" s="89">
        <v>107</v>
      </c>
      <c r="X15" s="89">
        <v>108</v>
      </c>
      <c r="Y15" s="89">
        <v>109</v>
      </c>
      <c r="Z15" s="89">
        <v>110</v>
      </c>
      <c r="AA15" s="146">
        <v>111</v>
      </c>
      <c r="AC15" s="110">
        <v>0</v>
      </c>
    </row>
    <row r="16" spans="2:29">
      <c r="B16" s="150"/>
      <c r="C16" s="151"/>
      <c r="D16" s="151"/>
      <c r="E16" s="151"/>
      <c r="F16" s="89"/>
      <c r="G16" s="89"/>
      <c r="H16" s="89"/>
      <c r="I16" s="146"/>
      <c r="K16" s="150"/>
      <c r="L16" s="151"/>
      <c r="M16" s="151"/>
      <c r="N16" s="151"/>
      <c r="O16" s="89"/>
      <c r="P16" s="89"/>
      <c r="Q16" s="89"/>
      <c r="R16" s="146"/>
      <c r="T16" s="150">
        <v>112</v>
      </c>
      <c r="U16" s="151">
        <v>113</v>
      </c>
      <c r="V16" s="151">
        <v>114</v>
      </c>
      <c r="W16" s="151">
        <v>115</v>
      </c>
      <c r="X16" s="89">
        <v>116</v>
      </c>
      <c r="Y16" s="89">
        <v>117</v>
      </c>
      <c r="Z16" s="89">
        <v>118</v>
      </c>
      <c r="AA16" s="146">
        <v>119</v>
      </c>
      <c r="AC16" s="110">
        <v>0</v>
      </c>
    </row>
    <row r="17" spans="2:29">
      <c r="B17" s="145"/>
      <c r="C17" s="89"/>
      <c r="D17" s="89"/>
      <c r="E17" s="89"/>
      <c r="F17" s="89"/>
      <c r="G17" s="89"/>
      <c r="H17" s="89"/>
      <c r="I17" s="146"/>
      <c r="K17" s="145"/>
      <c r="L17" s="89"/>
      <c r="M17" s="89"/>
      <c r="N17" s="89"/>
      <c r="O17" s="89"/>
      <c r="P17" s="89"/>
      <c r="Q17" s="89"/>
      <c r="R17" s="146"/>
      <c r="T17" s="145">
        <v>120</v>
      </c>
      <c r="U17" s="89">
        <v>121</v>
      </c>
      <c r="V17" s="89">
        <v>122</v>
      </c>
      <c r="W17" s="89">
        <v>123</v>
      </c>
      <c r="X17" s="89">
        <v>124</v>
      </c>
      <c r="Y17" s="89">
        <v>125</v>
      </c>
      <c r="Z17" s="89">
        <v>126</v>
      </c>
      <c r="AA17" s="146">
        <v>127</v>
      </c>
      <c r="AC17" s="110">
        <v>0</v>
      </c>
    </row>
    <row r="18" spans="2:29">
      <c r="B18" s="150"/>
      <c r="C18" s="151"/>
      <c r="D18" s="151"/>
      <c r="E18" s="151"/>
      <c r="F18" s="89"/>
      <c r="G18" s="89"/>
      <c r="H18" s="89"/>
      <c r="I18" s="146"/>
      <c r="K18" s="150"/>
      <c r="L18" s="151"/>
      <c r="M18" s="151"/>
      <c r="N18" s="151"/>
      <c r="O18" s="89"/>
      <c r="P18" s="89"/>
      <c r="Q18" s="89"/>
      <c r="R18" s="146"/>
      <c r="T18" s="150">
        <v>128</v>
      </c>
      <c r="U18" s="151">
        <v>129</v>
      </c>
      <c r="V18" s="151">
        <v>130</v>
      </c>
      <c r="W18" s="151">
        <v>131</v>
      </c>
      <c r="X18" s="89">
        <v>132</v>
      </c>
      <c r="Y18" s="89">
        <v>133</v>
      </c>
      <c r="Z18" s="89">
        <v>134</v>
      </c>
      <c r="AA18" s="146">
        <v>135</v>
      </c>
      <c r="AC18" s="110">
        <v>0</v>
      </c>
    </row>
    <row r="19" spans="2:29">
      <c r="B19" s="145"/>
      <c r="C19" s="89"/>
      <c r="D19" s="89"/>
      <c r="E19" s="89"/>
      <c r="F19" s="89"/>
      <c r="G19" s="89"/>
      <c r="H19" s="89"/>
      <c r="I19" s="146"/>
      <c r="K19" s="145"/>
      <c r="L19" s="89"/>
      <c r="M19" s="89"/>
      <c r="N19" s="89"/>
      <c r="O19" s="89"/>
      <c r="P19" s="89"/>
      <c r="Q19" s="89"/>
      <c r="R19" s="146"/>
      <c r="T19" s="145">
        <v>136</v>
      </c>
      <c r="U19" s="89">
        <v>137</v>
      </c>
      <c r="V19" s="89">
        <v>138</v>
      </c>
      <c r="W19" s="89">
        <v>139</v>
      </c>
      <c r="X19" s="89">
        <v>140</v>
      </c>
      <c r="Y19" s="89">
        <v>141</v>
      </c>
      <c r="Z19" s="89">
        <v>142</v>
      </c>
      <c r="AA19" s="146">
        <v>143</v>
      </c>
      <c r="AC19" s="110">
        <v>0</v>
      </c>
    </row>
    <row r="20" spans="2:29">
      <c r="B20" s="150"/>
      <c r="C20" s="151"/>
      <c r="D20" s="151"/>
      <c r="E20" s="151"/>
      <c r="F20" s="89"/>
      <c r="G20" s="89"/>
      <c r="H20" s="89"/>
      <c r="I20" s="146"/>
      <c r="K20" s="150"/>
      <c r="L20" s="151"/>
      <c r="M20" s="151"/>
      <c r="N20" s="151"/>
      <c r="O20" s="89"/>
      <c r="P20" s="89"/>
      <c r="Q20" s="89"/>
      <c r="R20" s="146"/>
      <c r="T20" s="150">
        <v>144</v>
      </c>
      <c r="U20" s="151">
        <v>145</v>
      </c>
      <c r="V20" s="151">
        <v>146</v>
      </c>
      <c r="W20" s="151">
        <v>147</v>
      </c>
      <c r="X20" s="89">
        <v>148</v>
      </c>
      <c r="Y20" s="89">
        <v>149</v>
      </c>
      <c r="Z20" s="89">
        <v>150</v>
      </c>
      <c r="AA20" s="146">
        <v>151</v>
      </c>
      <c r="AC20" s="162">
        <v>1.6712460493597899E-19</v>
      </c>
    </row>
    <row r="21" spans="2:29">
      <c r="B21" s="145"/>
      <c r="C21" s="89"/>
      <c r="D21" s="89"/>
      <c r="E21" s="89"/>
      <c r="F21" s="89"/>
      <c r="G21" s="89"/>
      <c r="H21" s="89"/>
      <c r="I21" s="146"/>
      <c r="K21" s="145"/>
      <c r="L21" s="89"/>
      <c r="M21" s="89"/>
      <c r="N21" s="89"/>
      <c r="O21" s="89"/>
      <c r="P21" s="89"/>
      <c r="Q21" s="89"/>
      <c r="R21" s="146"/>
      <c r="T21" s="145">
        <v>152</v>
      </c>
      <c r="U21" s="89">
        <v>153</v>
      </c>
      <c r="V21" s="89">
        <v>154</v>
      </c>
      <c r="W21" s="89">
        <v>155</v>
      </c>
      <c r="X21" s="89">
        <v>156</v>
      </c>
      <c r="Y21" s="89">
        <v>157</v>
      </c>
      <c r="Z21" s="89">
        <v>158</v>
      </c>
      <c r="AA21" s="146">
        <v>159</v>
      </c>
      <c r="AC21" s="162">
        <v>1.0999952133152E+27</v>
      </c>
    </row>
    <row r="22" spans="2:29">
      <c r="B22" s="150"/>
      <c r="C22" s="151"/>
      <c r="D22" s="151"/>
      <c r="E22" s="151"/>
      <c r="F22" s="89"/>
      <c r="G22" s="89"/>
      <c r="H22" s="89"/>
      <c r="I22" s="146"/>
      <c r="K22" s="150"/>
      <c r="L22" s="151"/>
      <c r="M22" s="151"/>
      <c r="N22" s="151"/>
      <c r="O22" s="89"/>
      <c r="P22" s="89"/>
      <c r="Q22" s="89"/>
      <c r="R22" s="146"/>
      <c r="T22" s="150">
        <v>160</v>
      </c>
      <c r="U22" s="151">
        <v>161</v>
      </c>
      <c r="V22" s="151">
        <v>162</v>
      </c>
      <c r="W22" s="151">
        <v>163</v>
      </c>
      <c r="X22" s="89">
        <v>164</v>
      </c>
      <c r="Y22" s="89">
        <v>165</v>
      </c>
      <c r="Z22" s="89">
        <v>166</v>
      </c>
      <c r="AA22" s="146">
        <v>167</v>
      </c>
      <c r="AC22" s="162">
        <v>1.2711909394909699E+31</v>
      </c>
    </row>
    <row r="23" spans="2:29">
      <c r="B23" s="145"/>
      <c r="C23" s="89"/>
      <c r="D23" s="89"/>
      <c r="E23" s="89"/>
      <c r="F23" s="89"/>
      <c r="G23" s="89"/>
      <c r="H23" s="89"/>
      <c r="I23" s="146"/>
      <c r="K23" s="145"/>
      <c r="L23" s="89"/>
      <c r="M23" s="89"/>
      <c r="N23" s="89"/>
      <c r="O23" s="89"/>
      <c r="P23" s="89"/>
      <c r="Q23" s="89"/>
      <c r="R23" s="146"/>
      <c r="T23" s="145">
        <v>168</v>
      </c>
      <c r="U23" s="89">
        <v>169</v>
      </c>
      <c r="V23" s="89">
        <v>170</v>
      </c>
      <c r="W23" s="89">
        <v>171</v>
      </c>
      <c r="X23" s="89">
        <v>172</v>
      </c>
      <c r="Y23" s="89">
        <v>173</v>
      </c>
      <c r="Z23" s="89">
        <v>174</v>
      </c>
      <c r="AA23" s="146">
        <v>175</v>
      </c>
      <c r="AC23" s="162">
        <v>2.0362358757336301E-19</v>
      </c>
    </row>
    <row r="24" spans="2:29">
      <c r="B24" s="150"/>
      <c r="C24" s="151"/>
      <c r="D24" s="151"/>
      <c r="E24" s="151"/>
      <c r="F24" s="89"/>
      <c r="G24" s="89"/>
      <c r="H24" s="89"/>
      <c r="I24" s="146"/>
      <c r="K24" s="150"/>
      <c r="L24" s="151"/>
      <c r="M24" s="151"/>
      <c r="N24" s="151"/>
      <c r="O24" s="89"/>
      <c r="P24" s="89"/>
      <c r="Q24" s="89"/>
      <c r="R24" s="146"/>
      <c r="T24" s="150">
        <v>176</v>
      </c>
      <c r="U24" s="151">
        <v>177</v>
      </c>
      <c r="V24" s="151">
        <v>178</v>
      </c>
      <c r="W24" s="151">
        <v>179</v>
      </c>
      <c r="X24" s="89">
        <v>180</v>
      </c>
      <c r="Y24" s="89">
        <v>181</v>
      </c>
      <c r="Z24" s="89">
        <v>182</v>
      </c>
      <c r="AA24" s="146">
        <v>183</v>
      </c>
      <c r="AC24" s="162">
        <v>1.9348877683790799E-19</v>
      </c>
    </row>
    <row r="25" spans="2:29">
      <c r="B25" s="145"/>
      <c r="C25" s="89"/>
      <c r="D25" s="89"/>
      <c r="E25" s="89"/>
      <c r="F25" s="89"/>
      <c r="G25" s="89"/>
      <c r="H25" s="89"/>
      <c r="I25" s="146"/>
      <c r="K25" s="145"/>
      <c r="L25" s="89"/>
      <c r="M25" s="89"/>
      <c r="N25" s="89"/>
      <c r="O25" s="89"/>
      <c r="P25" s="89"/>
      <c r="Q25" s="89"/>
      <c r="R25" s="146"/>
      <c r="T25" s="145">
        <v>184</v>
      </c>
      <c r="U25" s="89">
        <v>185</v>
      </c>
      <c r="V25" s="89">
        <v>186</v>
      </c>
      <c r="W25" s="89">
        <v>187</v>
      </c>
      <c r="X25" s="89">
        <v>188</v>
      </c>
      <c r="Y25" s="89">
        <v>189</v>
      </c>
      <c r="Z25" s="89">
        <v>190</v>
      </c>
      <c r="AA25" s="146">
        <v>191</v>
      </c>
      <c r="AC25" s="162">
        <v>2.8175145550653001E+20</v>
      </c>
    </row>
    <row r="26" spans="2:29">
      <c r="B26" s="150"/>
      <c r="C26" s="151"/>
      <c r="D26" s="151"/>
      <c r="E26" s="151"/>
      <c r="F26" s="89"/>
      <c r="G26" s="89"/>
      <c r="H26" s="89"/>
      <c r="I26" s="146"/>
      <c r="K26" s="150"/>
      <c r="L26" s="151"/>
      <c r="M26" s="151"/>
      <c r="N26" s="151"/>
      <c r="O26" s="89"/>
      <c r="P26" s="89"/>
      <c r="Q26" s="89"/>
      <c r="R26" s="146"/>
      <c r="T26" s="150">
        <v>192</v>
      </c>
      <c r="U26" s="151">
        <v>193</v>
      </c>
      <c r="V26" s="151">
        <v>194</v>
      </c>
      <c r="W26" s="151">
        <v>195</v>
      </c>
      <c r="X26" s="89">
        <v>196</v>
      </c>
      <c r="Y26" s="89">
        <v>197</v>
      </c>
      <c r="Z26" s="89">
        <v>198</v>
      </c>
      <c r="AA26" s="146">
        <v>199</v>
      </c>
      <c r="AC26" s="162">
        <v>1.12864795058908E+27</v>
      </c>
    </row>
    <row r="27" spans="2:29">
      <c r="B27" s="145"/>
      <c r="C27" s="89"/>
      <c r="D27" s="89"/>
      <c r="E27" s="89"/>
      <c r="F27" s="89"/>
      <c r="G27" s="89"/>
      <c r="H27" s="89"/>
      <c r="I27" s="146"/>
      <c r="K27" s="145"/>
      <c r="L27" s="89"/>
      <c r="M27" s="89"/>
      <c r="N27" s="89"/>
      <c r="O27" s="89"/>
      <c r="P27" s="89"/>
      <c r="Q27" s="89"/>
      <c r="R27" s="146"/>
      <c r="T27" s="145">
        <v>200</v>
      </c>
      <c r="U27" s="89">
        <v>201</v>
      </c>
      <c r="V27" s="89">
        <v>202</v>
      </c>
      <c r="W27" s="89">
        <v>203</v>
      </c>
      <c r="X27" s="89">
        <v>204</v>
      </c>
      <c r="Y27" s="89">
        <v>205</v>
      </c>
      <c r="Z27" s="89">
        <v>206</v>
      </c>
      <c r="AA27" s="146">
        <v>207</v>
      </c>
      <c r="AC27" s="162">
        <v>1.6643221860785799E-41</v>
      </c>
    </row>
    <row r="28" spans="2:29">
      <c r="B28" s="150"/>
      <c r="C28" s="151"/>
      <c r="D28" s="151"/>
      <c r="E28" s="151"/>
      <c r="F28" s="89"/>
      <c r="G28" s="89"/>
      <c r="H28" s="89"/>
      <c r="I28" s="146"/>
      <c r="K28" s="150"/>
      <c r="L28" s="151"/>
      <c r="M28" s="151"/>
      <c r="N28" s="151"/>
      <c r="O28" s="89"/>
      <c r="P28" s="89"/>
      <c r="Q28" s="89"/>
      <c r="R28" s="146"/>
      <c r="T28" s="150">
        <v>208</v>
      </c>
      <c r="U28" s="151">
        <v>209</v>
      </c>
      <c r="V28" s="151">
        <v>210</v>
      </c>
      <c r="W28" s="151">
        <v>211</v>
      </c>
      <c r="X28" s="89">
        <v>212</v>
      </c>
      <c r="Y28" s="89">
        <v>213</v>
      </c>
      <c r="Z28" s="89">
        <v>214</v>
      </c>
      <c r="AA28" s="146">
        <v>215</v>
      </c>
      <c r="AC28" s="110">
        <v>0</v>
      </c>
    </row>
    <row r="29" spans="2:29">
      <c r="B29" s="145"/>
      <c r="C29" s="89"/>
      <c r="D29" s="89"/>
      <c r="E29" s="89"/>
      <c r="F29" s="89"/>
      <c r="G29" s="89"/>
      <c r="H29" s="89"/>
      <c r="I29" s="146"/>
      <c r="K29" s="145"/>
      <c r="L29" s="89"/>
      <c r="M29" s="89"/>
      <c r="N29" s="89"/>
      <c r="O29" s="89"/>
      <c r="P29" s="89"/>
      <c r="Q29" s="89"/>
      <c r="R29" s="146"/>
      <c r="T29" s="145">
        <v>216</v>
      </c>
      <c r="U29" s="89">
        <v>217</v>
      </c>
      <c r="V29" s="89">
        <v>218</v>
      </c>
      <c r="W29" s="89">
        <v>219</v>
      </c>
      <c r="X29" s="89">
        <v>220</v>
      </c>
      <c r="Y29" s="89">
        <v>221</v>
      </c>
      <c r="Z29" s="89">
        <v>222</v>
      </c>
      <c r="AA29" s="146">
        <v>223</v>
      </c>
      <c r="AC29" s="110">
        <v>0</v>
      </c>
    </row>
    <row r="30" spans="2:29">
      <c r="B30" s="150"/>
      <c r="C30" s="151"/>
      <c r="D30" s="151"/>
      <c r="E30" s="151"/>
      <c r="F30" s="89"/>
      <c r="G30" s="89"/>
      <c r="H30" s="89"/>
      <c r="I30" s="146"/>
      <c r="K30" s="150"/>
      <c r="L30" s="151"/>
      <c r="M30" s="151"/>
      <c r="N30" s="151"/>
      <c r="O30" s="89"/>
      <c r="P30" s="89"/>
      <c r="Q30" s="89"/>
      <c r="R30" s="146"/>
      <c r="T30" s="150">
        <v>224</v>
      </c>
      <c r="U30" s="151">
        <v>225</v>
      </c>
      <c r="V30" s="151">
        <v>226</v>
      </c>
      <c r="W30" s="151">
        <v>227</v>
      </c>
      <c r="X30" s="89">
        <v>228</v>
      </c>
      <c r="Y30" s="89">
        <v>229</v>
      </c>
      <c r="Z30" s="89">
        <v>230</v>
      </c>
      <c r="AA30" s="146">
        <v>231</v>
      </c>
      <c r="AC30" s="110">
        <v>0</v>
      </c>
    </row>
    <row r="31" spans="2:29">
      <c r="B31" s="145"/>
      <c r="C31" s="89"/>
      <c r="D31" s="89"/>
      <c r="E31" s="89"/>
      <c r="F31" s="89"/>
      <c r="G31" s="89"/>
      <c r="H31" s="89"/>
      <c r="I31" s="146"/>
      <c r="K31" s="145"/>
      <c r="L31" s="89"/>
      <c r="M31" s="89"/>
      <c r="N31" s="89"/>
      <c r="O31" s="89"/>
      <c r="P31" s="89"/>
      <c r="Q31" s="89"/>
      <c r="R31" s="146"/>
      <c r="T31" s="145">
        <v>232</v>
      </c>
      <c r="U31" s="89">
        <v>233</v>
      </c>
      <c r="V31" s="89">
        <v>234</v>
      </c>
      <c r="W31" s="89">
        <v>235</v>
      </c>
      <c r="X31" s="89">
        <v>236</v>
      </c>
      <c r="Y31" s="89">
        <v>237</v>
      </c>
      <c r="Z31" s="89">
        <v>238</v>
      </c>
      <c r="AA31" s="146">
        <v>239</v>
      </c>
      <c r="AC31" s="110">
        <v>0</v>
      </c>
    </row>
    <row r="32" spans="2:29">
      <c r="B32" s="150"/>
      <c r="C32" s="151"/>
      <c r="D32" s="151"/>
      <c r="E32" s="151"/>
      <c r="F32" s="89"/>
      <c r="G32" s="89"/>
      <c r="H32" s="89"/>
      <c r="I32" s="146"/>
      <c r="K32" s="150"/>
      <c r="L32" s="151"/>
      <c r="M32" s="151"/>
      <c r="N32" s="151"/>
      <c r="O32" s="89"/>
      <c r="P32" s="89"/>
      <c r="Q32" s="89"/>
      <c r="R32" s="146"/>
      <c r="T32" s="150">
        <v>240</v>
      </c>
      <c r="U32" s="151">
        <v>241</v>
      </c>
      <c r="V32" s="151">
        <v>242</v>
      </c>
      <c r="W32" s="151">
        <v>243</v>
      </c>
      <c r="X32" s="89">
        <v>244</v>
      </c>
      <c r="Y32" s="89">
        <v>245</v>
      </c>
      <c r="Z32" s="89">
        <v>246</v>
      </c>
      <c r="AA32" s="146">
        <v>247</v>
      </c>
      <c r="AC32" s="110">
        <v>0</v>
      </c>
    </row>
    <row r="33" spans="2:35">
      <c r="B33" s="145"/>
      <c r="C33" s="89"/>
      <c r="D33" s="89"/>
      <c r="E33" s="89"/>
      <c r="F33" s="89"/>
      <c r="G33" s="89"/>
      <c r="H33" s="89"/>
      <c r="I33" s="146"/>
      <c r="K33" s="145"/>
      <c r="L33" s="89"/>
      <c r="M33" s="89"/>
      <c r="N33" s="89"/>
      <c r="O33" s="89"/>
      <c r="P33" s="89"/>
      <c r="Q33" s="89"/>
      <c r="R33" s="146"/>
      <c r="T33" s="145">
        <v>248</v>
      </c>
      <c r="U33" s="89">
        <v>249</v>
      </c>
      <c r="V33" s="89">
        <v>250</v>
      </c>
      <c r="W33" s="89">
        <v>251</v>
      </c>
      <c r="X33" s="89">
        <v>252</v>
      </c>
      <c r="Y33" s="89">
        <v>253</v>
      </c>
      <c r="Z33" s="89">
        <v>254</v>
      </c>
      <c r="AA33" s="146">
        <v>255</v>
      </c>
      <c r="AC33" s="110">
        <v>0</v>
      </c>
      <c r="AI33" s="103">
        <f>912-424</f>
        <v>488</v>
      </c>
    </row>
    <row r="34" spans="2:35">
      <c r="B34" s="150"/>
      <c r="C34" s="151"/>
      <c r="D34" s="151"/>
      <c r="E34" s="151"/>
      <c r="F34" s="89"/>
      <c r="G34" s="89"/>
      <c r="H34" s="89"/>
      <c r="I34" s="146"/>
      <c r="K34" s="150"/>
      <c r="L34" s="151"/>
      <c r="M34" s="151"/>
      <c r="N34" s="151"/>
      <c r="O34" s="89"/>
      <c r="P34" s="89"/>
      <c r="Q34" s="89"/>
      <c r="R34" s="146"/>
      <c r="T34" s="150">
        <v>256</v>
      </c>
      <c r="U34" s="151">
        <v>257</v>
      </c>
      <c r="V34" s="151">
        <v>258</v>
      </c>
      <c r="W34" s="151">
        <v>259</v>
      </c>
      <c r="X34" s="89">
        <v>260</v>
      </c>
      <c r="Y34" s="89">
        <v>261</v>
      </c>
      <c r="Z34" s="89">
        <v>262</v>
      </c>
      <c r="AA34" s="146">
        <v>263</v>
      </c>
      <c r="AC34" s="110">
        <v>0</v>
      </c>
    </row>
    <row r="35" spans="2:35">
      <c r="B35" s="145"/>
      <c r="C35" s="89"/>
      <c r="D35" s="89"/>
      <c r="E35" s="89"/>
      <c r="F35" s="89"/>
      <c r="G35" s="89"/>
      <c r="H35" s="89"/>
      <c r="I35" s="146"/>
      <c r="K35" s="145"/>
      <c r="L35" s="89"/>
      <c r="M35" s="89"/>
      <c r="N35" s="89"/>
      <c r="O35" s="89"/>
      <c r="P35" s="89"/>
      <c r="Q35" s="89"/>
      <c r="R35" s="146"/>
      <c r="T35" s="145">
        <v>264</v>
      </c>
      <c r="U35" s="89">
        <v>265</v>
      </c>
      <c r="V35" s="89">
        <v>266</v>
      </c>
      <c r="W35" s="89">
        <v>267</v>
      </c>
      <c r="X35" s="89">
        <v>268</v>
      </c>
      <c r="Y35" s="89">
        <v>269</v>
      </c>
      <c r="Z35" s="89">
        <v>270</v>
      </c>
      <c r="AA35" s="146">
        <v>271</v>
      </c>
      <c r="AC35" s="110">
        <v>0</v>
      </c>
    </row>
    <row r="36" spans="2:35">
      <c r="B36" s="150"/>
      <c r="C36" s="151"/>
      <c r="D36" s="151"/>
      <c r="E36" s="151"/>
      <c r="F36" s="89"/>
      <c r="G36" s="89"/>
      <c r="H36" s="89"/>
      <c r="I36" s="146"/>
      <c r="K36" s="150"/>
      <c r="L36" s="151"/>
      <c r="M36" s="151"/>
      <c r="N36" s="151"/>
      <c r="O36" s="89"/>
      <c r="P36" s="89"/>
      <c r="Q36" s="89"/>
      <c r="R36" s="146"/>
      <c r="T36" s="150">
        <v>272</v>
      </c>
      <c r="U36" s="151">
        <v>273</v>
      </c>
      <c r="V36" s="151">
        <v>274</v>
      </c>
      <c r="W36" s="151">
        <v>275</v>
      </c>
      <c r="X36" s="89">
        <v>276</v>
      </c>
      <c r="Y36" s="89">
        <v>277</v>
      </c>
      <c r="Z36" s="89">
        <v>278</v>
      </c>
      <c r="AA36" s="146">
        <v>279</v>
      </c>
      <c r="AC36" s="110">
        <v>0</v>
      </c>
    </row>
    <row r="37" spans="2:35">
      <c r="B37" s="145"/>
      <c r="C37" s="89"/>
      <c r="D37" s="89"/>
      <c r="E37" s="89"/>
      <c r="F37" s="89"/>
      <c r="G37" s="89"/>
      <c r="H37" s="89"/>
      <c r="I37" s="146"/>
      <c r="K37" s="145"/>
      <c r="L37" s="89"/>
      <c r="M37" s="89"/>
      <c r="N37" s="89"/>
      <c r="O37" s="89"/>
      <c r="P37" s="89"/>
      <c r="Q37" s="89"/>
      <c r="R37" s="146"/>
      <c r="T37" s="145">
        <v>280</v>
      </c>
      <c r="U37" s="89">
        <v>281</v>
      </c>
      <c r="V37" s="89">
        <v>282</v>
      </c>
      <c r="W37" s="89">
        <v>283</v>
      </c>
      <c r="X37" s="89">
        <v>284</v>
      </c>
      <c r="Y37" s="89">
        <v>285</v>
      </c>
      <c r="Z37" s="89">
        <v>286</v>
      </c>
      <c r="AA37" s="146">
        <v>287</v>
      </c>
      <c r="AC37" s="110">
        <v>0</v>
      </c>
      <c r="AD37" s="103">
        <f>232*4</f>
        <v>928</v>
      </c>
    </row>
    <row r="38" spans="2:35">
      <c r="B38" s="150"/>
      <c r="C38" s="151"/>
      <c r="D38" s="151"/>
      <c r="E38" s="151"/>
      <c r="F38" s="89"/>
      <c r="G38" s="89"/>
      <c r="H38" s="89"/>
      <c r="I38" s="146"/>
      <c r="K38" s="150"/>
      <c r="L38" s="151"/>
      <c r="M38" s="151"/>
      <c r="N38" s="151"/>
      <c r="O38" s="89"/>
      <c r="P38" s="89"/>
      <c r="Q38" s="89"/>
      <c r="R38" s="146"/>
      <c r="T38" s="150">
        <v>288</v>
      </c>
      <c r="U38" s="151">
        <v>289</v>
      </c>
      <c r="V38" s="151">
        <v>290</v>
      </c>
      <c r="W38" s="151">
        <v>291</v>
      </c>
      <c r="X38" s="89">
        <v>292</v>
      </c>
      <c r="Y38" s="89">
        <v>293</v>
      </c>
      <c r="Z38" s="89">
        <v>294</v>
      </c>
      <c r="AA38" s="146">
        <v>295</v>
      </c>
      <c r="AC38" s="110">
        <v>0</v>
      </c>
    </row>
    <row r="39" spans="2:35">
      <c r="B39" s="145"/>
      <c r="C39" s="89"/>
      <c r="D39" s="89"/>
      <c r="E39" s="89"/>
      <c r="F39" s="89"/>
      <c r="G39" s="89"/>
      <c r="H39" s="89"/>
      <c r="I39" s="146"/>
      <c r="K39" s="145"/>
      <c r="L39" s="89"/>
      <c r="M39" s="89"/>
      <c r="N39" s="89"/>
      <c r="O39" s="89"/>
      <c r="P39" s="89"/>
      <c r="Q39" s="89"/>
      <c r="R39" s="146"/>
      <c r="T39" s="145">
        <v>296</v>
      </c>
      <c r="U39" s="89">
        <v>297</v>
      </c>
      <c r="V39" s="89">
        <v>298</v>
      </c>
      <c r="W39" s="89">
        <v>299</v>
      </c>
      <c r="X39" s="89">
        <v>300</v>
      </c>
      <c r="Y39" s="89">
        <v>301</v>
      </c>
      <c r="Z39" s="89">
        <v>302</v>
      </c>
      <c r="AA39" s="146">
        <v>303</v>
      </c>
      <c r="AC39" s="110">
        <v>0</v>
      </c>
    </row>
    <row r="40" spans="2:35">
      <c r="B40" s="150"/>
      <c r="C40" s="151"/>
      <c r="D40" s="151"/>
      <c r="E40" s="151"/>
      <c r="F40" s="89"/>
      <c r="G40" s="89"/>
      <c r="H40" s="89"/>
      <c r="I40" s="146"/>
      <c r="K40" s="150"/>
      <c r="L40" s="151"/>
      <c r="M40" s="151"/>
      <c r="N40" s="151"/>
      <c r="O40" s="89"/>
      <c r="P40" s="89"/>
      <c r="Q40" s="89"/>
      <c r="R40" s="146"/>
      <c r="T40" s="150">
        <v>304</v>
      </c>
      <c r="U40" s="151">
        <v>305</v>
      </c>
      <c r="V40" s="151">
        <v>306</v>
      </c>
      <c r="W40" s="151">
        <v>307</v>
      </c>
      <c r="X40" s="89">
        <v>308</v>
      </c>
      <c r="Y40" s="89">
        <v>309</v>
      </c>
      <c r="Z40" s="89">
        <v>310</v>
      </c>
      <c r="AA40" s="146">
        <v>311</v>
      </c>
      <c r="AC40" s="110">
        <v>0</v>
      </c>
    </row>
    <row r="41" spans="2:35">
      <c r="B41" s="145"/>
      <c r="C41" s="89"/>
      <c r="D41" s="89"/>
      <c r="E41" s="89"/>
      <c r="F41" s="89"/>
      <c r="G41" s="89"/>
      <c r="H41" s="89"/>
      <c r="I41" s="146"/>
      <c r="K41" s="145"/>
      <c r="L41" s="89"/>
      <c r="M41" s="89"/>
      <c r="N41" s="89"/>
      <c r="O41" s="89"/>
      <c r="P41" s="89"/>
      <c r="Q41" s="89"/>
      <c r="R41" s="146"/>
      <c r="T41" s="145">
        <v>312</v>
      </c>
      <c r="U41" s="89">
        <v>313</v>
      </c>
      <c r="V41" s="89">
        <v>314</v>
      </c>
      <c r="W41" s="89">
        <v>315</v>
      </c>
      <c r="X41" s="89">
        <v>316</v>
      </c>
      <c r="Y41" s="89">
        <v>317</v>
      </c>
      <c r="Z41" s="89">
        <v>318</v>
      </c>
      <c r="AA41" s="146">
        <v>319</v>
      </c>
      <c r="AC41" s="110">
        <v>0</v>
      </c>
    </row>
    <row r="42" spans="2:35">
      <c r="B42" s="150"/>
      <c r="C42" s="151"/>
      <c r="D42" s="151"/>
      <c r="E42" s="151"/>
      <c r="F42" s="89"/>
      <c r="G42" s="89"/>
      <c r="H42" s="89"/>
      <c r="I42" s="146"/>
      <c r="K42" s="150"/>
      <c r="L42" s="151"/>
      <c r="M42" s="151"/>
      <c r="N42" s="151"/>
      <c r="O42" s="89"/>
      <c r="P42" s="89"/>
      <c r="Q42" s="89"/>
      <c r="R42" s="146"/>
      <c r="T42" s="150">
        <v>320</v>
      </c>
      <c r="U42" s="151">
        <v>321</v>
      </c>
      <c r="V42" s="151">
        <v>322</v>
      </c>
      <c r="W42" s="151">
        <v>323</v>
      </c>
      <c r="X42" s="89">
        <v>324</v>
      </c>
      <c r="Y42" s="89">
        <v>325</v>
      </c>
      <c r="Z42" s="89">
        <v>326</v>
      </c>
      <c r="AA42" s="146">
        <v>327</v>
      </c>
      <c r="AC42" s="110">
        <v>0</v>
      </c>
    </row>
    <row r="43" spans="2:35">
      <c r="B43" s="178" t="s">
        <v>246</v>
      </c>
      <c r="C43" s="175"/>
      <c r="D43" s="175"/>
      <c r="E43" s="175"/>
      <c r="F43" s="175"/>
      <c r="G43" s="175"/>
      <c r="H43" s="175"/>
      <c r="I43" s="176"/>
      <c r="K43" s="173" t="s">
        <v>247</v>
      </c>
      <c r="L43" s="174"/>
      <c r="M43" s="174"/>
      <c r="N43" s="174"/>
      <c r="O43" s="174"/>
      <c r="P43" s="174"/>
      <c r="Q43" s="174"/>
      <c r="R43" s="177"/>
      <c r="T43" s="145">
        <v>328</v>
      </c>
      <c r="U43" s="89">
        <v>329</v>
      </c>
      <c r="V43" s="89">
        <v>330</v>
      </c>
      <c r="W43" s="89">
        <v>331</v>
      </c>
      <c r="X43" s="89">
        <v>332</v>
      </c>
      <c r="Y43" s="89">
        <v>333</v>
      </c>
      <c r="Z43" s="89">
        <v>334</v>
      </c>
      <c r="AA43" s="146">
        <v>335</v>
      </c>
      <c r="AC43" s="110">
        <v>0</v>
      </c>
    </row>
    <row r="44" spans="2:35">
      <c r="B44" s="178"/>
      <c r="C44" s="175"/>
      <c r="D44" s="175"/>
      <c r="E44" s="175"/>
      <c r="F44" s="175"/>
      <c r="G44" s="175"/>
      <c r="H44" s="175"/>
      <c r="I44" s="176"/>
      <c r="K44" s="173"/>
      <c r="L44" s="174"/>
      <c r="M44" s="174"/>
      <c r="N44" s="174"/>
      <c r="O44" s="174"/>
      <c r="P44" s="174"/>
      <c r="Q44" s="174"/>
      <c r="R44" s="177"/>
      <c r="T44" s="150">
        <v>336</v>
      </c>
      <c r="U44" s="151">
        <v>337</v>
      </c>
      <c r="V44" s="151">
        <v>338</v>
      </c>
      <c r="W44" s="151">
        <v>339</v>
      </c>
      <c r="X44" s="89">
        <v>340</v>
      </c>
      <c r="Y44" s="89">
        <v>341</v>
      </c>
      <c r="Z44" s="89">
        <v>342</v>
      </c>
      <c r="AA44" s="146">
        <v>343</v>
      </c>
      <c r="AC44" s="110">
        <v>0</v>
      </c>
    </row>
    <row r="45" spans="2:35">
      <c r="B45" s="178"/>
      <c r="C45" s="175"/>
      <c r="D45" s="175"/>
      <c r="E45" s="175"/>
      <c r="F45" s="175"/>
      <c r="G45" s="175"/>
      <c r="H45" s="175"/>
      <c r="I45" s="176"/>
      <c r="K45" s="173"/>
      <c r="L45" s="174"/>
      <c r="M45" s="174"/>
      <c r="N45" s="174"/>
      <c r="O45" s="174"/>
      <c r="P45" s="174"/>
      <c r="Q45" s="174"/>
      <c r="R45" s="177"/>
      <c r="T45" s="145">
        <v>344</v>
      </c>
      <c r="U45" s="89">
        <v>345</v>
      </c>
      <c r="V45" s="89">
        <v>346</v>
      </c>
      <c r="W45" s="89">
        <v>347</v>
      </c>
      <c r="X45" s="89">
        <v>348</v>
      </c>
      <c r="Y45" s="89">
        <v>349</v>
      </c>
      <c r="Z45" s="89">
        <v>350</v>
      </c>
      <c r="AA45" s="146">
        <v>351</v>
      </c>
      <c r="AC45" s="110">
        <v>0</v>
      </c>
    </row>
    <row r="46" spans="2:35">
      <c r="B46" s="150"/>
      <c r="C46" s="151"/>
      <c r="D46" s="151"/>
      <c r="E46" s="151"/>
      <c r="F46" s="89"/>
      <c r="G46" s="89"/>
      <c r="H46" s="89"/>
      <c r="I46" s="146"/>
      <c r="K46" s="150"/>
      <c r="L46" s="151"/>
      <c r="M46" s="151"/>
      <c r="N46" s="151"/>
      <c r="O46" s="89"/>
      <c r="P46" s="89"/>
      <c r="Q46" s="89"/>
      <c r="R46" s="146"/>
      <c r="T46" s="150">
        <v>352</v>
      </c>
      <c r="U46" s="151">
        <v>353</v>
      </c>
      <c r="V46" s="151">
        <v>354</v>
      </c>
      <c r="W46" s="151">
        <v>355</v>
      </c>
      <c r="X46" s="89">
        <v>356</v>
      </c>
      <c r="Y46" s="89">
        <v>357</v>
      </c>
      <c r="Z46" s="89">
        <v>358</v>
      </c>
      <c r="AA46" s="146">
        <v>359</v>
      </c>
      <c r="AC46" s="110">
        <v>0</v>
      </c>
    </row>
    <row r="47" spans="2:35">
      <c r="B47" s="145"/>
      <c r="C47" s="89"/>
      <c r="D47" s="89"/>
      <c r="E47" s="89"/>
      <c r="F47" s="89"/>
      <c r="G47" s="89"/>
      <c r="H47" s="89"/>
      <c r="I47" s="146"/>
      <c r="K47" s="145"/>
      <c r="L47" s="89"/>
      <c r="M47" s="89"/>
      <c r="N47" s="89"/>
      <c r="O47" s="89"/>
      <c r="P47" s="89"/>
      <c r="Q47" s="89"/>
      <c r="R47" s="146"/>
      <c r="T47" s="145">
        <v>360</v>
      </c>
      <c r="U47" s="89">
        <v>361</v>
      </c>
      <c r="V47" s="89">
        <v>362</v>
      </c>
      <c r="W47" s="89">
        <v>363</v>
      </c>
      <c r="X47" s="89">
        <v>364</v>
      </c>
      <c r="Y47" s="89">
        <v>365</v>
      </c>
      <c r="Z47" s="89">
        <v>366</v>
      </c>
      <c r="AA47" s="146">
        <v>367</v>
      </c>
      <c r="AC47" s="110">
        <v>0</v>
      </c>
    </row>
    <row r="48" spans="2:35">
      <c r="B48" s="150"/>
      <c r="C48" s="151"/>
      <c r="D48" s="151"/>
      <c r="E48" s="151"/>
      <c r="F48" s="89"/>
      <c r="G48" s="89"/>
      <c r="H48" s="89"/>
      <c r="I48" s="146"/>
      <c r="K48" s="150"/>
      <c r="L48" s="151"/>
      <c r="M48" s="151"/>
      <c r="N48" s="151"/>
      <c r="O48" s="89"/>
      <c r="P48" s="89"/>
      <c r="Q48" s="89"/>
      <c r="R48" s="146"/>
      <c r="T48" s="150">
        <v>368</v>
      </c>
      <c r="U48" s="151">
        <v>369</v>
      </c>
      <c r="V48" s="151">
        <v>370</v>
      </c>
      <c r="W48" s="151">
        <v>371</v>
      </c>
      <c r="X48" s="89">
        <v>372</v>
      </c>
      <c r="Y48" s="89">
        <v>373</v>
      </c>
      <c r="Z48" s="89">
        <v>374</v>
      </c>
      <c r="AA48" s="146">
        <v>375</v>
      </c>
      <c r="AC48" s="110">
        <v>0</v>
      </c>
    </row>
    <row r="49" spans="2:29">
      <c r="B49" s="145"/>
      <c r="C49" s="89"/>
      <c r="D49" s="89"/>
      <c r="E49" s="89"/>
      <c r="F49" s="89"/>
      <c r="G49" s="89"/>
      <c r="H49" s="89"/>
      <c r="I49" s="146"/>
      <c r="K49" s="145"/>
      <c r="L49" s="89"/>
      <c r="M49" s="89"/>
      <c r="N49" s="89"/>
      <c r="O49" s="89"/>
      <c r="P49" s="89"/>
      <c r="Q49" s="89"/>
      <c r="R49" s="146"/>
      <c r="T49" s="145">
        <v>376</v>
      </c>
      <c r="U49" s="89">
        <v>377</v>
      </c>
      <c r="V49" s="89">
        <v>378</v>
      </c>
      <c r="W49" s="89">
        <v>379</v>
      </c>
      <c r="X49" s="89">
        <v>380</v>
      </c>
      <c r="Y49" s="89">
        <v>381</v>
      </c>
      <c r="Z49" s="89">
        <v>382</v>
      </c>
      <c r="AA49" s="146">
        <v>383</v>
      </c>
      <c r="AC49" s="110">
        <v>0</v>
      </c>
    </row>
    <row r="50" spans="2:29">
      <c r="B50" s="150"/>
      <c r="C50" s="151"/>
      <c r="D50" s="151"/>
      <c r="E50" s="151"/>
      <c r="F50" s="89"/>
      <c r="G50" s="89"/>
      <c r="H50" s="89"/>
      <c r="I50" s="146"/>
      <c r="K50" s="150"/>
      <c r="L50" s="151"/>
      <c r="M50" s="151"/>
      <c r="N50" s="151"/>
      <c r="O50" s="89"/>
      <c r="P50" s="89"/>
      <c r="Q50" s="89"/>
      <c r="R50" s="146"/>
      <c r="T50" s="150">
        <v>384</v>
      </c>
      <c r="U50" s="151">
        <v>385</v>
      </c>
      <c r="V50" s="151">
        <v>386</v>
      </c>
      <c r="W50" s="151">
        <v>387</v>
      </c>
      <c r="X50" s="89">
        <v>388</v>
      </c>
      <c r="Y50" s="89">
        <v>389</v>
      </c>
      <c r="Z50" s="89">
        <v>390</v>
      </c>
      <c r="AA50" s="146">
        <v>391</v>
      </c>
      <c r="AC50" s="110">
        <v>0</v>
      </c>
    </row>
    <row r="51" spans="2:29">
      <c r="B51" s="178" t="s">
        <v>248</v>
      </c>
      <c r="C51" s="175"/>
      <c r="D51" s="175"/>
      <c r="E51" s="175"/>
      <c r="F51" s="175"/>
      <c r="G51" s="175"/>
      <c r="H51" s="175"/>
      <c r="I51" s="176"/>
      <c r="K51" s="173" t="s">
        <v>249</v>
      </c>
      <c r="L51" s="174"/>
      <c r="M51" s="174"/>
      <c r="N51" s="174"/>
      <c r="O51" s="174"/>
      <c r="P51" s="174"/>
      <c r="Q51" s="174"/>
      <c r="R51" s="177"/>
      <c r="T51" s="145">
        <v>392</v>
      </c>
      <c r="U51" s="89">
        <v>393</v>
      </c>
      <c r="V51" s="89">
        <v>394</v>
      </c>
      <c r="W51" s="89">
        <v>395</v>
      </c>
      <c r="X51" s="89">
        <v>396</v>
      </c>
      <c r="Y51" s="89">
        <v>397</v>
      </c>
      <c r="Z51" s="89">
        <v>398</v>
      </c>
      <c r="AA51" s="146">
        <v>399</v>
      </c>
      <c r="AC51" s="110">
        <v>0</v>
      </c>
    </row>
    <row r="52" spans="2:29">
      <c r="B52" s="178"/>
      <c r="C52" s="175"/>
      <c r="D52" s="175"/>
      <c r="E52" s="175"/>
      <c r="F52" s="175"/>
      <c r="G52" s="175"/>
      <c r="H52" s="175"/>
      <c r="I52" s="176"/>
      <c r="K52" s="173"/>
      <c r="L52" s="174"/>
      <c r="M52" s="174"/>
      <c r="N52" s="174"/>
      <c r="O52" s="174"/>
      <c r="P52" s="174"/>
      <c r="Q52" s="174"/>
      <c r="R52" s="177"/>
      <c r="T52" s="150">
        <v>400</v>
      </c>
      <c r="U52" s="151">
        <v>401</v>
      </c>
      <c r="V52" s="151">
        <v>402</v>
      </c>
      <c r="W52" s="151">
        <v>403</v>
      </c>
      <c r="X52" s="89">
        <v>404</v>
      </c>
      <c r="Y52" s="89">
        <v>405</v>
      </c>
      <c r="Z52" s="89">
        <v>406</v>
      </c>
      <c r="AA52" s="146">
        <v>407</v>
      </c>
      <c r="AC52" s="110">
        <v>0</v>
      </c>
    </row>
    <row r="53" spans="2:29">
      <c r="B53" s="178"/>
      <c r="C53" s="175"/>
      <c r="D53" s="175"/>
      <c r="E53" s="175"/>
      <c r="F53" s="175"/>
      <c r="G53" s="175"/>
      <c r="H53" s="175"/>
      <c r="I53" s="176"/>
      <c r="K53" s="173"/>
      <c r="L53" s="174"/>
      <c r="M53" s="174"/>
      <c r="N53" s="174"/>
      <c r="O53" s="174"/>
      <c r="P53" s="174"/>
      <c r="Q53" s="174"/>
      <c r="R53" s="177"/>
      <c r="T53" s="145">
        <v>408</v>
      </c>
      <c r="U53" s="89">
        <v>409</v>
      </c>
      <c r="V53" s="89">
        <v>410</v>
      </c>
      <c r="W53" s="89">
        <v>411</v>
      </c>
      <c r="X53" s="89">
        <v>412</v>
      </c>
      <c r="Y53" s="89">
        <v>413</v>
      </c>
      <c r="Z53" s="89">
        <v>414</v>
      </c>
      <c r="AA53" s="146">
        <v>415</v>
      </c>
      <c r="AC53" s="110">
        <v>0</v>
      </c>
    </row>
    <row r="54" spans="2:29">
      <c r="B54" s="150"/>
      <c r="C54" s="151"/>
      <c r="D54" s="151"/>
      <c r="E54" s="151"/>
      <c r="F54" s="89"/>
      <c r="G54" s="89"/>
      <c r="H54" s="89"/>
      <c r="I54" s="146"/>
      <c r="K54" s="150"/>
      <c r="L54" s="151"/>
      <c r="M54" s="151"/>
      <c r="N54" s="151"/>
      <c r="O54" s="89"/>
      <c r="P54" s="89"/>
      <c r="Q54" s="89"/>
      <c r="R54" s="146"/>
      <c r="T54" s="150">
        <v>416</v>
      </c>
      <c r="U54" s="151">
        <v>417</v>
      </c>
      <c r="V54" s="151">
        <v>418</v>
      </c>
      <c r="W54" s="151">
        <v>419</v>
      </c>
      <c r="X54" s="89">
        <v>420</v>
      </c>
      <c r="Y54" s="89">
        <v>421</v>
      </c>
      <c r="Z54" s="89">
        <v>422</v>
      </c>
      <c r="AA54" s="146">
        <v>423</v>
      </c>
      <c r="AC54" s="110">
        <v>0</v>
      </c>
    </row>
    <row r="55" spans="2:29">
      <c r="B55" s="145"/>
      <c r="C55" s="89"/>
      <c r="D55" s="89"/>
      <c r="E55" s="89"/>
      <c r="F55" s="89"/>
      <c r="G55" s="89"/>
      <c r="H55" s="89"/>
      <c r="I55" s="146"/>
      <c r="K55" s="145"/>
      <c r="L55" s="89"/>
      <c r="M55" s="89"/>
      <c r="N55" s="89"/>
      <c r="O55" s="89"/>
      <c r="P55" s="89"/>
      <c r="Q55" s="89"/>
      <c r="R55" s="146"/>
      <c r="T55" s="145">
        <v>424</v>
      </c>
      <c r="U55" s="89">
        <v>425</v>
      </c>
      <c r="V55" s="89">
        <v>426</v>
      </c>
      <c r="W55" s="89">
        <v>427</v>
      </c>
      <c r="X55" s="89">
        <v>428</v>
      </c>
      <c r="Y55" s="89">
        <v>429</v>
      </c>
      <c r="Z55" s="89">
        <v>430</v>
      </c>
      <c r="AA55" s="146">
        <v>431</v>
      </c>
      <c r="AC55" s="110">
        <v>0</v>
      </c>
    </row>
    <row r="56" spans="2:29">
      <c r="B56" s="150"/>
      <c r="C56" s="151"/>
      <c r="D56" s="151"/>
      <c r="E56" s="151"/>
      <c r="F56" s="89"/>
      <c r="G56" s="89"/>
      <c r="H56" s="89"/>
      <c r="I56" s="146"/>
      <c r="K56" s="150"/>
      <c r="L56" s="151"/>
      <c r="M56" s="151"/>
      <c r="N56" s="151"/>
      <c r="O56" s="89"/>
      <c r="P56" s="89"/>
      <c r="Q56" s="89"/>
      <c r="R56" s="146"/>
      <c r="T56" s="150">
        <v>432</v>
      </c>
      <c r="U56" s="151">
        <v>433</v>
      </c>
      <c r="V56" s="151">
        <v>434</v>
      </c>
      <c r="W56" s="151">
        <v>435</v>
      </c>
      <c r="X56" s="89">
        <v>436</v>
      </c>
      <c r="Y56" s="89">
        <v>437</v>
      </c>
      <c r="Z56" s="89">
        <v>438</v>
      </c>
      <c r="AA56" s="146">
        <v>439</v>
      </c>
      <c r="AC56" s="110">
        <v>0</v>
      </c>
    </row>
    <row r="57" spans="2:29">
      <c r="B57" s="145"/>
      <c r="C57" s="89"/>
      <c r="D57" s="89"/>
      <c r="E57" s="89"/>
      <c r="F57" s="89"/>
      <c r="G57" s="89"/>
      <c r="H57" s="89"/>
      <c r="I57" s="146"/>
      <c r="K57" s="145"/>
      <c r="L57" s="89"/>
      <c r="M57" s="89"/>
      <c r="N57" s="89"/>
      <c r="O57" s="89"/>
      <c r="P57" s="89"/>
      <c r="Q57" s="89"/>
      <c r="R57" s="146"/>
      <c r="T57" s="145">
        <v>440</v>
      </c>
      <c r="U57" s="89">
        <v>441</v>
      </c>
      <c r="V57" s="89">
        <v>442</v>
      </c>
      <c r="W57" s="89">
        <v>443</v>
      </c>
      <c r="X57" s="89">
        <v>444</v>
      </c>
      <c r="Y57" s="89">
        <v>445</v>
      </c>
      <c r="Z57" s="89">
        <v>446</v>
      </c>
      <c r="AA57" s="146">
        <v>447</v>
      </c>
      <c r="AC57" s="110">
        <v>0</v>
      </c>
    </row>
    <row r="58" spans="2:29">
      <c r="B58" s="150"/>
      <c r="C58" s="151"/>
      <c r="D58" s="151"/>
      <c r="E58" s="151"/>
      <c r="F58" s="89"/>
      <c r="G58" s="89"/>
      <c r="H58" s="89"/>
      <c r="I58" s="146"/>
      <c r="K58" s="150"/>
      <c r="L58" s="151"/>
      <c r="M58" s="151"/>
      <c r="N58" s="151"/>
      <c r="O58" s="89"/>
      <c r="P58" s="89"/>
      <c r="Q58" s="89"/>
      <c r="R58" s="146"/>
      <c r="T58" s="150">
        <v>448</v>
      </c>
      <c r="U58" s="151">
        <v>449</v>
      </c>
      <c r="V58" s="151">
        <v>450</v>
      </c>
      <c r="W58" s="151">
        <v>451</v>
      </c>
      <c r="X58" s="89">
        <v>452</v>
      </c>
      <c r="Y58" s="89">
        <v>453</v>
      </c>
      <c r="Z58" s="89">
        <v>454</v>
      </c>
      <c r="AA58" s="146">
        <v>455</v>
      </c>
      <c r="AC58" s="110">
        <v>0</v>
      </c>
    </row>
    <row r="59" spans="2:29">
      <c r="B59" s="178" t="s">
        <v>192</v>
      </c>
      <c r="C59" s="175"/>
      <c r="D59" s="175"/>
      <c r="E59" s="175"/>
      <c r="F59" s="175"/>
      <c r="G59" s="175"/>
      <c r="H59" s="175"/>
      <c r="I59" s="176"/>
      <c r="K59" s="178" t="s">
        <v>250</v>
      </c>
      <c r="L59" s="175"/>
      <c r="M59" s="175"/>
      <c r="N59" s="175"/>
      <c r="O59" s="175"/>
      <c r="P59" s="175"/>
      <c r="Q59" s="175"/>
      <c r="R59" s="176"/>
      <c r="T59" s="145">
        <v>456</v>
      </c>
      <c r="U59" s="89">
        <v>457</v>
      </c>
      <c r="V59" s="89">
        <v>458</v>
      </c>
      <c r="W59" s="89">
        <v>459</v>
      </c>
      <c r="X59" s="89">
        <v>460</v>
      </c>
      <c r="Y59" s="89">
        <v>461</v>
      </c>
      <c r="Z59" s="89">
        <v>462</v>
      </c>
      <c r="AA59" s="146">
        <v>463</v>
      </c>
      <c r="AC59" s="110">
        <v>0</v>
      </c>
    </row>
    <row r="60" spans="2:29">
      <c r="B60" s="178"/>
      <c r="C60" s="175"/>
      <c r="D60" s="151"/>
      <c r="E60" s="151"/>
      <c r="F60" s="89"/>
      <c r="G60" s="89"/>
      <c r="H60" s="89"/>
      <c r="I60" s="146"/>
      <c r="K60" s="178"/>
      <c r="L60" s="175"/>
      <c r="M60" s="151"/>
      <c r="N60" s="151"/>
      <c r="O60" s="89"/>
      <c r="P60" s="89"/>
      <c r="Q60" s="89"/>
      <c r="R60" s="146"/>
      <c r="T60" s="150">
        <v>464</v>
      </c>
      <c r="U60" s="151">
        <v>465</v>
      </c>
      <c r="V60" s="151">
        <v>466</v>
      </c>
      <c r="W60" s="151">
        <v>467</v>
      </c>
      <c r="X60" s="89">
        <v>468</v>
      </c>
      <c r="Y60" s="89">
        <v>469</v>
      </c>
      <c r="Z60" s="89">
        <v>470</v>
      </c>
      <c r="AA60" s="146">
        <v>471</v>
      </c>
      <c r="AC60" s="110">
        <v>0</v>
      </c>
    </row>
    <row r="61" spans="2:29">
      <c r="B61" s="145"/>
      <c r="C61" s="89"/>
      <c r="D61" s="89"/>
      <c r="E61" s="89"/>
      <c r="F61" s="89"/>
      <c r="G61" s="89"/>
      <c r="H61" s="89"/>
      <c r="I61" s="146"/>
      <c r="K61" s="145"/>
      <c r="L61" s="89"/>
      <c r="M61" s="89"/>
      <c r="N61" s="89"/>
      <c r="O61" s="89"/>
      <c r="P61" s="89"/>
      <c r="Q61" s="89"/>
      <c r="R61" s="146"/>
      <c r="T61" s="145">
        <v>472</v>
      </c>
      <c r="U61" s="89">
        <v>473</v>
      </c>
      <c r="V61" s="89">
        <v>474</v>
      </c>
      <c r="W61" s="89">
        <v>475</v>
      </c>
      <c r="X61" s="89">
        <v>476</v>
      </c>
      <c r="Y61" s="89">
        <v>477</v>
      </c>
      <c r="Z61" s="89">
        <v>478</v>
      </c>
      <c r="AA61" s="146">
        <v>479</v>
      </c>
      <c r="AC61" s="110">
        <v>0</v>
      </c>
    </row>
    <row r="62" spans="2:29">
      <c r="B62" s="150"/>
      <c r="C62" s="151"/>
      <c r="D62" s="151"/>
      <c r="E62" s="151"/>
      <c r="F62" s="89"/>
      <c r="G62" s="89"/>
      <c r="H62" s="89"/>
      <c r="I62" s="146"/>
      <c r="K62" s="150"/>
      <c r="L62" s="151"/>
      <c r="M62" s="151"/>
      <c r="N62" s="151"/>
      <c r="O62" s="89"/>
      <c r="P62" s="89"/>
      <c r="Q62" s="89"/>
      <c r="R62" s="146"/>
      <c r="T62" s="150">
        <v>480</v>
      </c>
      <c r="U62" s="151">
        <v>481</v>
      </c>
      <c r="V62" s="151">
        <v>482</v>
      </c>
      <c r="W62" s="151">
        <v>483</v>
      </c>
      <c r="X62" s="89">
        <v>484</v>
      </c>
      <c r="Y62" s="89">
        <v>485</v>
      </c>
      <c r="Z62" s="89">
        <v>486</v>
      </c>
      <c r="AA62" s="146">
        <v>487</v>
      </c>
      <c r="AC62" s="110">
        <v>0</v>
      </c>
    </row>
    <row r="63" spans="2:29">
      <c r="B63" s="145"/>
      <c r="C63" s="89"/>
      <c r="D63" s="89"/>
      <c r="E63" s="89"/>
      <c r="F63" s="89"/>
      <c r="G63" s="89"/>
      <c r="H63" s="89"/>
      <c r="I63" s="146"/>
      <c r="K63" s="145"/>
      <c r="L63" s="89"/>
      <c r="M63" s="89"/>
      <c r="N63" s="89"/>
      <c r="O63" s="89"/>
      <c r="P63" s="89"/>
      <c r="Q63" s="89"/>
      <c r="R63" s="146"/>
      <c r="T63" s="145">
        <v>488</v>
      </c>
      <c r="U63" s="89">
        <v>489</v>
      </c>
      <c r="V63" s="89">
        <v>490</v>
      </c>
      <c r="W63" s="89">
        <v>491</v>
      </c>
      <c r="X63" s="89">
        <v>492</v>
      </c>
      <c r="Y63" s="89">
        <v>493</v>
      </c>
      <c r="Z63" s="89">
        <v>494</v>
      </c>
      <c r="AA63" s="146">
        <v>495</v>
      </c>
      <c r="AC63" s="110">
        <v>0</v>
      </c>
    </row>
    <row r="64" spans="2:29">
      <c r="B64" s="150"/>
      <c r="C64" s="151"/>
      <c r="D64" s="151"/>
      <c r="E64" s="151"/>
      <c r="F64" s="89"/>
      <c r="G64" s="89"/>
      <c r="H64" s="89"/>
      <c r="I64" s="146"/>
      <c r="K64" s="150"/>
      <c r="L64" s="151"/>
      <c r="M64" s="151"/>
      <c r="N64" s="151"/>
      <c r="O64" s="89"/>
      <c r="P64" s="89"/>
      <c r="Q64" s="89"/>
      <c r="R64" s="146"/>
      <c r="T64" s="150">
        <v>496</v>
      </c>
      <c r="U64" s="151">
        <v>497</v>
      </c>
      <c r="V64" s="151">
        <v>498</v>
      </c>
      <c r="W64" s="151">
        <v>499</v>
      </c>
      <c r="X64" s="89">
        <v>500</v>
      </c>
      <c r="Y64" s="89">
        <v>501</v>
      </c>
      <c r="Z64" s="89">
        <v>502</v>
      </c>
      <c r="AA64" s="146">
        <v>503</v>
      </c>
      <c r="AC64" s="110">
        <v>0</v>
      </c>
    </row>
    <row r="65" spans="2:29">
      <c r="B65" s="145"/>
      <c r="C65" s="89"/>
      <c r="D65" s="89"/>
      <c r="E65" s="89"/>
      <c r="F65" s="89"/>
      <c r="G65" s="89"/>
      <c r="H65" s="89"/>
      <c r="I65" s="146"/>
      <c r="K65" s="145"/>
      <c r="L65" s="89"/>
      <c r="M65" s="89"/>
      <c r="N65" s="89"/>
      <c r="O65" s="89"/>
      <c r="P65" s="89"/>
      <c r="Q65" s="89"/>
      <c r="R65" s="146"/>
      <c r="T65" s="145">
        <v>504</v>
      </c>
      <c r="U65" s="89">
        <v>505</v>
      </c>
      <c r="V65" s="89">
        <v>506</v>
      </c>
      <c r="W65" s="89">
        <v>507</v>
      </c>
      <c r="X65" s="89">
        <v>508</v>
      </c>
      <c r="Y65" s="89">
        <v>509</v>
      </c>
      <c r="Z65" s="89">
        <v>510</v>
      </c>
      <c r="AA65" s="146">
        <v>511</v>
      </c>
      <c r="AC65" s="110">
        <v>0</v>
      </c>
    </row>
    <row r="66" spans="2:29">
      <c r="B66" s="150"/>
      <c r="C66" s="151"/>
      <c r="D66" s="151"/>
      <c r="E66" s="151"/>
      <c r="F66" s="89"/>
      <c r="G66" s="89"/>
      <c r="H66" s="89"/>
      <c r="I66" s="146"/>
      <c r="K66" s="150"/>
      <c r="L66" s="151"/>
      <c r="M66" s="151"/>
      <c r="N66" s="151"/>
      <c r="O66" s="89"/>
      <c r="P66" s="89"/>
      <c r="Q66" s="89"/>
      <c r="R66" s="146"/>
      <c r="T66" s="150">
        <v>512</v>
      </c>
      <c r="U66" s="151">
        <v>513</v>
      </c>
      <c r="V66" s="151">
        <v>514</v>
      </c>
      <c r="W66" s="151">
        <v>515</v>
      </c>
      <c r="X66" s="89">
        <v>516</v>
      </c>
      <c r="Y66" s="89">
        <v>517</v>
      </c>
      <c r="Z66" s="89">
        <v>518</v>
      </c>
      <c r="AA66" s="146">
        <v>519</v>
      </c>
      <c r="AC66" s="110">
        <v>0</v>
      </c>
    </row>
    <row r="67" spans="2:29">
      <c r="B67" s="145"/>
      <c r="C67" s="89"/>
      <c r="D67" s="89"/>
      <c r="E67" s="89"/>
      <c r="F67" s="89"/>
      <c r="G67" s="89"/>
      <c r="H67" s="89"/>
      <c r="I67" s="146"/>
      <c r="K67" s="145"/>
      <c r="L67" s="89"/>
      <c r="M67" s="89"/>
      <c r="N67" s="89"/>
      <c r="O67" s="89"/>
      <c r="P67" s="89"/>
      <c r="Q67" s="89"/>
      <c r="R67" s="146"/>
      <c r="T67" s="145">
        <v>520</v>
      </c>
      <c r="U67" s="89">
        <v>521</v>
      </c>
      <c r="V67" s="89">
        <v>522</v>
      </c>
      <c r="W67" s="89">
        <v>523</v>
      </c>
      <c r="X67" s="89">
        <v>524</v>
      </c>
      <c r="Y67" s="89">
        <v>525</v>
      </c>
      <c r="Z67" s="89">
        <v>526</v>
      </c>
      <c r="AA67" s="146">
        <v>527</v>
      </c>
      <c r="AC67" s="110">
        <v>0</v>
      </c>
    </row>
    <row r="68" spans="2:29">
      <c r="B68" s="150"/>
      <c r="C68" s="151"/>
      <c r="D68" s="151"/>
      <c r="E68" s="151"/>
      <c r="F68" s="89"/>
      <c r="G68" s="89"/>
      <c r="H68" s="89"/>
      <c r="I68" s="146"/>
      <c r="K68" s="150"/>
      <c r="L68" s="151"/>
      <c r="M68" s="151"/>
      <c r="N68" s="151"/>
      <c r="O68" s="89"/>
      <c r="P68" s="89"/>
      <c r="Q68" s="89"/>
      <c r="R68" s="146"/>
      <c r="T68" s="150">
        <v>528</v>
      </c>
      <c r="U68" s="151">
        <v>529</v>
      </c>
      <c r="V68" s="151">
        <v>530</v>
      </c>
      <c r="W68" s="151">
        <v>531</v>
      </c>
      <c r="X68" s="89">
        <v>532</v>
      </c>
      <c r="Y68" s="89">
        <v>533</v>
      </c>
      <c r="Z68" s="89">
        <v>534</v>
      </c>
      <c r="AA68" s="146">
        <v>535</v>
      </c>
      <c r="AC68" s="110">
        <v>0</v>
      </c>
    </row>
    <row r="69" spans="2:29">
      <c r="B69" s="145"/>
      <c r="C69" s="89"/>
      <c r="D69" s="89"/>
      <c r="E69" s="89"/>
      <c r="F69" s="89"/>
      <c r="G69" s="89"/>
      <c r="H69" s="89"/>
      <c r="I69" s="146"/>
      <c r="K69" s="145"/>
      <c r="L69" s="89"/>
      <c r="M69" s="89"/>
      <c r="N69" s="89"/>
      <c r="O69" s="89"/>
      <c r="P69" s="89"/>
      <c r="Q69" s="89"/>
      <c r="R69" s="146"/>
      <c r="T69" s="145">
        <v>536</v>
      </c>
      <c r="U69" s="89">
        <v>537</v>
      </c>
      <c r="V69" s="89">
        <v>538</v>
      </c>
      <c r="W69" s="89">
        <v>539</v>
      </c>
      <c r="X69" s="89">
        <v>540</v>
      </c>
      <c r="Y69" s="89">
        <v>541</v>
      </c>
      <c r="Z69" s="89">
        <v>542</v>
      </c>
      <c r="AA69" s="146">
        <v>543</v>
      </c>
      <c r="AC69" s="110">
        <v>0</v>
      </c>
    </row>
    <row r="70" spans="2:29">
      <c r="B70" s="150"/>
      <c r="C70" s="151"/>
      <c r="D70" s="151"/>
      <c r="E70" s="151"/>
      <c r="F70" s="89"/>
      <c r="G70" s="89"/>
      <c r="H70" s="89"/>
      <c r="I70" s="146"/>
      <c r="K70" s="150"/>
      <c r="L70" s="151"/>
      <c r="M70" s="151"/>
      <c r="N70" s="151"/>
      <c r="O70" s="89"/>
      <c r="P70" s="89"/>
      <c r="Q70" s="89"/>
      <c r="R70" s="146"/>
      <c r="T70" s="150">
        <v>544</v>
      </c>
      <c r="U70" s="151">
        <v>545</v>
      </c>
      <c r="V70" s="151">
        <v>546</v>
      </c>
      <c r="W70" s="151">
        <v>547</v>
      </c>
      <c r="X70" s="89">
        <v>548</v>
      </c>
      <c r="Y70" s="89">
        <v>549</v>
      </c>
      <c r="Z70" s="89">
        <v>550</v>
      </c>
      <c r="AA70" s="146">
        <v>551</v>
      </c>
      <c r="AC70" s="110">
        <v>0</v>
      </c>
    </row>
    <row r="71" spans="2:29">
      <c r="B71" s="145"/>
      <c r="C71" s="89"/>
      <c r="D71" s="89"/>
      <c r="E71" s="89"/>
      <c r="F71" s="89"/>
      <c r="G71" s="89"/>
      <c r="H71" s="89"/>
      <c r="I71" s="146"/>
      <c r="K71" s="145"/>
      <c r="L71" s="89"/>
      <c r="M71" s="89"/>
      <c r="N71" s="89"/>
      <c r="O71" s="89"/>
      <c r="P71" s="89"/>
      <c r="Q71" s="89"/>
      <c r="R71" s="146"/>
      <c r="T71" s="145">
        <v>552</v>
      </c>
      <c r="U71" s="89">
        <v>553</v>
      </c>
      <c r="V71" s="89">
        <v>554</v>
      </c>
      <c r="W71" s="89">
        <v>555</v>
      </c>
      <c r="X71" s="89">
        <v>556</v>
      </c>
      <c r="Y71" s="89">
        <v>557</v>
      </c>
      <c r="Z71" s="89">
        <v>558</v>
      </c>
      <c r="AA71" s="146">
        <v>559</v>
      </c>
      <c r="AC71" s="110">
        <v>0</v>
      </c>
    </row>
    <row r="72" spans="2:29">
      <c r="B72" s="150"/>
      <c r="C72" s="151"/>
      <c r="D72" s="151"/>
      <c r="E72" s="151"/>
      <c r="F72" s="89"/>
      <c r="G72" s="89"/>
      <c r="H72" s="89"/>
      <c r="I72" s="146"/>
      <c r="K72" s="150"/>
      <c r="L72" s="151"/>
      <c r="M72" s="151"/>
      <c r="N72" s="151"/>
      <c r="O72" s="89"/>
      <c r="P72" s="89"/>
      <c r="Q72" s="89"/>
      <c r="R72" s="146"/>
      <c r="T72" s="150">
        <v>560</v>
      </c>
      <c r="U72" s="151">
        <v>561</v>
      </c>
      <c r="V72" s="151">
        <v>562</v>
      </c>
      <c r="W72" s="151">
        <v>563</v>
      </c>
      <c r="X72" s="89">
        <v>564</v>
      </c>
      <c r="Y72" s="89">
        <v>565</v>
      </c>
      <c r="Z72" s="89">
        <v>566</v>
      </c>
      <c r="AA72" s="146">
        <v>567</v>
      </c>
      <c r="AC72" s="110">
        <v>0</v>
      </c>
    </row>
    <row r="73" spans="2:29">
      <c r="B73" s="145"/>
      <c r="C73" s="89"/>
      <c r="D73" s="89"/>
      <c r="E73" s="89"/>
      <c r="F73" s="89"/>
      <c r="G73" s="89"/>
      <c r="H73" s="89"/>
      <c r="I73" s="146"/>
      <c r="K73" s="145"/>
      <c r="L73" s="89"/>
      <c r="M73" s="89"/>
      <c r="N73" s="89"/>
      <c r="O73" s="89"/>
      <c r="P73" s="89"/>
      <c r="Q73" s="89"/>
      <c r="R73" s="146"/>
      <c r="T73" s="145">
        <v>568</v>
      </c>
      <c r="U73" s="89">
        <v>569</v>
      </c>
      <c r="V73" s="89">
        <v>570</v>
      </c>
      <c r="W73" s="89">
        <v>571</v>
      </c>
      <c r="X73" s="89">
        <v>572</v>
      </c>
      <c r="Y73" s="89">
        <v>573</v>
      </c>
      <c r="Z73" s="89">
        <v>574</v>
      </c>
      <c r="AA73" s="146">
        <v>575</v>
      </c>
      <c r="AC73" s="110">
        <v>0</v>
      </c>
    </row>
    <row r="74" spans="2:29">
      <c r="B74" s="150"/>
      <c r="C74" s="151"/>
      <c r="D74" s="151"/>
      <c r="E74" s="151"/>
      <c r="F74" s="89"/>
      <c r="G74" s="89"/>
      <c r="H74" s="89"/>
      <c r="I74" s="146"/>
      <c r="K74" s="150"/>
      <c r="L74" s="151"/>
      <c r="M74" s="151"/>
      <c r="N74" s="151"/>
      <c r="O74" s="89"/>
      <c r="P74" s="89"/>
      <c r="Q74" s="89"/>
      <c r="R74" s="146"/>
      <c r="T74" s="150">
        <v>576</v>
      </c>
      <c r="U74" s="151">
        <v>577</v>
      </c>
      <c r="V74" s="151">
        <v>578</v>
      </c>
      <c r="W74" s="151">
        <v>579</v>
      </c>
      <c r="X74" s="89">
        <v>580</v>
      </c>
      <c r="Y74" s="89">
        <v>581</v>
      </c>
      <c r="Z74" s="89">
        <v>582</v>
      </c>
      <c r="AA74" s="146">
        <v>583</v>
      </c>
      <c r="AC74" s="110">
        <v>0</v>
      </c>
    </row>
    <row r="75" spans="2:29">
      <c r="B75" s="145"/>
      <c r="C75" s="89"/>
      <c r="D75" s="89"/>
      <c r="E75" s="89"/>
      <c r="F75" s="89"/>
      <c r="G75" s="89"/>
      <c r="H75" s="89"/>
      <c r="I75" s="146"/>
      <c r="K75" s="145"/>
      <c r="L75" s="89"/>
      <c r="M75" s="89"/>
      <c r="N75" s="89"/>
      <c r="O75" s="89"/>
      <c r="P75" s="89"/>
      <c r="Q75" s="89"/>
      <c r="R75" s="146"/>
      <c r="T75" s="145">
        <v>584</v>
      </c>
      <c r="U75" s="89">
        <v>585</v>
      </c>
      <c r="V75" s="89">
        <v>586</v>
      </c>
      <c r="W75" s="89">
        <v>587</v>
      </c>
      <c r="X75" s="89">
        <v>588</v>
      </c>
      <c r="Y75" s="89">
        <v>589</v>
      </c>
      <c r="Z75" s="89">
        <v>590</v>
      </c>
      <c r="AA75" s="146">
        <v>591</v>
      </c>
      <c r="AC75" s="110">
        <v>0</v>
      </c>
    </row>
    <row r="76" spans="2:29">
      <c r="B76" s="150"/>
      <c r="C76" s="151"/>
      <c r="D76" s="151"/>
      <c r="E76" s="151"/>
      <c r="F76" s="89"/>
      <c r="G76" s="89"/>
      <c r="H76" s="89"/>
      <c r="I76" s="146"/>
      <c r="K76" s="150"/>
      <c r="L76" s="151"/>
      <c r="M76" s="151"/>
      <c r="N76" s="151"/>
      <c r="O76" s="89"/>
      <c r="P76" s="89"/>
      <c r="Q76" s="89"/>
      <c r="R76" s="146"/>
      <c r="T76" s="150">
        <v>592</v>
      </c>
      <c r="U76" s="151">
        <v>593</v>
      </c>
      <c r="V76" s="151">
        <v>594</v>
      </c>
      <c r="W76" s="151">
        <v>595</v>
      </c>
      <c r="X76" s="89">
        <v>596</v>
      </c>
      <c r="Y76" s="89">
        <v>597</v>
      </c>
      <c r="Z76" s="89">
        <v>598</v>
      </c>
      <c r="AA76" s="146">
        <v>599</v>
      </c>
      <c r="AC76" s="110">
        <v>0</v>
      </c>
    </row>
    <row r="77" spans="2:29">
      <c r="B77" s="145"/>
      <c r="C77" s="89"/>
      <c r="D77" s="89"/>
      <c r="E77" s="89"/>
      <c r="F77" s="89"/>
      <c r="G77" s="89"/>
      <c r="H77" s="89"/>
      <c r="I77" s="146"/>
      <c r="K77" s="145"/>
      <c r="L77" s="89"/>
      <c r="M77" s="89"/>
      <c r="N77" s="89"/>
      <c r="O77" s="89"/>
      <c r="P77" s="89"/>
      <c r="Q77" s="89"/>
      <c r="R77" s="146"/>
      <c r="T77" s="145">
        <v>600</v>
      </c>
      <c r="U77" s="89">
        <v>601</v>
      </c>
      <c r="V77" s="89">
        <v>602</v>
      </c>
      <c r="W77" s="89">
        <v>603</v>
      </c>
      <c r="X77" s="89">
        <v>604</v>
      </c>
      <c r="Y77" s="89">
        <v>605</v>
      </c>
      <c r="Z77" s="89">
        <v>606</v>
      </c>
      <c r="AA77" s="146">
        <v>607</v>
      </c>
      <c r="AC77" s="110">
        <v>0</v>
      </c>
    </row>
    <row r="78" spans="2:29">
      <c r="B78" s="150"/>
      <c r="C78" s="151"/>
      <c r="D78" s="151"/>
      <c r="E78" s="151"/>
      <c r="F78" s="89"/>
      <c r="G78" s="89"/>
      <c r="H78" s="89"/>
      <c r="I78" s="146"/>
      <c r="K78" s="150"/>
      <c r="L78" s="151"/>
      <c r="M78" s="151"/>
      <c r="N78" s="151"/>
      <c r="O78" s="89"/>
      <c r="P78" s="89"/>
      <c r="Q78" s="89"/>
      <c r="R78" s="146"/>
      <c r="T78" s="150">
        <v>608</v>
      </c>
      <c r="U78" s="151">
        <v>609</v>
      </c>
      <c r="V78" s="151">
        <v>610</v>
      </c>
      <c r="W78" s="151">
        <v>611</v>
      </c>
      <c r="X78" s="89">
        <v>612</v>
      </c>
      <c r="Y78" s="89">
        <v>613</v>
      </c>
      <c r="Z78" s="89">
        <v>614</v>
      </c>
      <c r="AA78" s="146">
        <v>615</v>
      </c>
      <c r="AC78" s="110">
        <v>0</v>
      </c>
    </row>
    <row r="79" spans="2:29">
      <c r="B79" s="145"/>
      <c r="C79" s="89"/>
      <c r="D79" s="89"/>
      <c r="E79" s="89"/>
      <c r="F79" s="89"/>
      <c r="G79" s="89"/>
      <c r="H79" s="89"/>
      <c r="I79" s="146"/>
      <c r="K79" s="145"/>
      <c r="L79" s="89"/>
      <c r="M79" s="89"/>
      <c r="N79" s="89"/>
      <c r="O79" s="89"/>
      <c r="P79" s="89"/>
      <c r="Q79" s="89"/>
      <c r="R79" s="146"/>
      <c r="T79" s="145">
        <v>616</v>
      </c>
      <c r="U79" s="89">
        <v>617</v>
      </c>
      <c r="V79" s="89">
        <v>618</v>
      </c>
      <c r="W79" s="89">
        <v>619</v>
      </c>
      <c r="X79" s="89">
        <v>620</v>
      </c>
      <c r="Y79" s="89">
        <v>621</v>
      </c>
      <c r="Z79" s="89">
        <v>622</v>
      </c>
      <c r="AA79" s="146">
        <v>623</v>
      </c>
      <c r="AC79" s="110">
        <v>0</v>
      </c>
    </row>
    <row r="80" spans="2:29">
      <c r="B80" s="150"/>
      <c r="C80" s="151"/>
      <c r="D80" s="151"/>
      <c r="E80" s="151"/>
      <c r="F80" s="89"/>
      <c r="G80" s="89"/>
      <c r="H80" s="89"/>
      <c r="I80" s="146"/>
      <c r="K80" s="150"/>
      <c r="L80" s="151"/>
      <c r="M80" s="151"/>
      <c r="N80" s="151"/>
      <c r="O80" s="89"/>
      <c r="P80" s="89"/>
      <c r="Q80" s="89"/>
      <c r="R80" s="146"/>
      <c r="T80" s="150">
        <v>624</v>
      </c>
      <c r="U80" s="151">
        <v>625</v>
      </c>
      <c r="V80" s="151">
        <v>626</v>
      </c>
      <c r="W80" s="151">
        <v>627</v>
      </c>
      <c r="X80" s="89">
        <v>628</v>
      </c>
      <c r="Y80" s="89">
        <v>629</v>
      </c>
      <c r="Z80" s="89">
        <v>630</v>
      </c>
      <c r="AA80" s="146">
        <v>631</v>
      </c>
      <c r="AC80" s="110">
        <v>0</v>
      </c>
    </row>
    <row r="81" spans="2:29">
      <c r="B81" s="145"/>
      <c r="C81" s="89"/>
      <c r="D81" s="89"/>
      <c r="E81" s="89"/>
      <c r="F81" s="89"/>
      <c r="G81" s="89"/>
      <c r="H81" s="89"/>
      <c r="I81" s="146"/>
      <c r="K81" s="145"/>
      <c r="L81" s="89"/>
      <c r="M81" s="89"/>
      <c r="N81" s="89"/>
      <c r="O81" s="89"/>
      <c r="P81" s="89"/>
      <c r="Q81" s="89"/>
      <c r="R81" s="146"/>
      <c r="T81" s="145">
        <v>632</v>
      </c>
      <c r="U81" s="89">
        <v>633</v>
      </c>
      <c r="V81" s="89">
        <v>634</v>
      </c>
      <c r="W81" s="89">
        <v>635</v>
      </c>
      <c r="X81" s="89">
        <v>636</v>
      </c>
      <c r="Y81" s="89">
        <v>637</v>
      </c>
      <c r="Z81" s="89">
        <v>638</v>
      </c>
      <c r="AA81" s="146">
        <v>639</v>
      </c>
      <c r="AC81" s="110">
        <v>0</v>
      </c>
    </row>
    <row r="82" spans="2:29">
      <c r="B82" s="150"/>
      <c r="C82" s="151"/>
      <c r="D82" s="151"/>
      <c r="E82" s="151"/>
      <c r="F82" s="89"/>
      <c r="G82" s="89"/>
      <c r="H82" s="89"/>
      <c r="I82" s="146"/>
      <c r="K82" s="150"/>
      <c r="L82" s="151"/>
      <c r="M82" s="151"/>
      <c r="N82" s="151"/>
      <c r="O82" s="89"/>
      <c r="P82" s="89"/>
      <c r="Q82" s="89"/>
      <c r="R82" s="146"/>
      <c r="T82" s="150">
        <v>640</v>
      </c>
      <c r="U82" s="151">
        <v>641</v>
      </c>
      <c r="V82" s="151">
        <v>642</v>
      </c>
      <c r="W82" s="151">
        <v>643</v>
      </c>
      <c r="X82" s="89">
        <v>644</v>
      </c>
      <c r="Y82" s="89">
        <v>645</v>
      </c>
      <c r="Z82" s="89">
        <v>646</v>
      </c>
      <c r="AA82" s="146">
        <v>647</v>
      </c>
      <c r="AC82" s="110">
        <v>0</v>
      </c>
    </row>
    <row r="83" spans="2:29">
      <c r="B83" s="145"/>
      <c r="C83" s="89"/>
      <c r="D83" s="89"/>
      <c r="E83" s="89"/>
      <c r="F83" s="89"/>
      <c r="G83" s="89"/>
      <c r="H83" s="89"/>
      <c r="I83" s="146"/>
      <c r="K83" s="145"/>
      <c r="L83" s="89"/>
      <c r="M83" s="89"/>
      <c r="N83" s="89"/>
      <c r="O83" s="89"/>
      <c r="P83" s="89"/>
      <c r="Q83" s="89"/>
      <c r="R83" s="146"/>
      <c r="T83" s="145">
        <v>648</v>
      </c>
      <c r="U83" s="89">
        <v>649</v>
      </c>
      <c r="V83" s="89">
        <v>650</v>
      </c>
      <c r="W83" s="89">
        <v>651</v>
      </c>
      <c r="X83" s="89">
        <v>652</v>
      </c>
      <c r="Y83" s="89">
        <v>653</v>
      </c>
      <c r="Z83" s="89">
        <v>654</v>
      </c>
      <c r="AA83" s="146">
        <v>655</v>
      </c>
      <c r="AC83" s="110">
        <v>0</v>
      </c>
    </row>
    <row r="84" spans="2:29">
      <c r="B84" s="150"/>
      <c r="C84" s="151"/>
      <c r="D84" s="151"/>
      <c r="E84" s="151"/>
      <c r="F84" s="89"/>
      <c r="G84" s="89"/>
      <c r="H84" s="89"/>
      <c r="I84" s="146"/>
      <c r="K84" s="150"/>
      <c r="L84" s="151"/>
      <c r="M84" s="151"/>
      <c r="N84" s="151"/>
      <c r="O84" s="89"/>
      <c r="P84" s="89"/>
      <c r="Q84" s="89"/>
      <c r="R84" s="146"/>
      <c r="T84" s="150">
        <v>656</v>
      </c>
      <c r="U84" s="151">
        <v>657</v>
      </c>
      <c r="V84" s="151">
        <v>658</v>
      </c>
      <c r="W84" s="151">
        <v>659</v>
      </c>
      <c r="X84" s="89">
        <v>660</v>
      </c>
      <c r="Y84" s="89">
        <v>661</v>
      </c>
      <c r="Z84" s="89">
        <v>662</v>
      </c>
      <c r="AA84" s="146">
        <v>663</v>
      </c>
      <c r="AC84" s="162">
        <v>6.6380300722812503E-7</v>
      </c>
    </row>
    <row r="85" spans="2:29">
      <c r="B85" s="145"/>
      <c r="C85" s="89"/>
      <c r="D85" s="89"/>
      <c r="E85" s="89"/>
      <c r="F85" s="89"/>
      <c r="G85" s="89"/>
      <c r="H85" s="89"/>
      <c r="I85" s="146"/>
      <c r="K85" s="145"/>
      <c r="L85" s="89"/>
      <c r="M85" s="89"/>
      <c r="N85" s="89"/>
      <c r="O85" s="89"/>
      <c r="P85" s="89"/>
      <c r="Q85" s="89"/>
      <c r="R85" s="146"/>
      <c r="T85" s="145">
        <v>664</v>
      </c>
      <c r="U85" s="89">
        <v>665</v>
      </c>
      <c r="V85" s="89">
        <v>666</v>
      </c>
      <c r="W85" s="89">
        <v>667</v>
      </c>
      <c r="X85" s="89">
        <v>668</v>
      </c>
      <c r="Y85" s="89">
        <v>669</v>
      </c>
      <c r="Z85" s="89">
        <v>670</v>
      </c>
      <c r="AA85" s="146">
        <v>671</v>
      </c>
      <c r="AC85" s="162">
        <v>1.024251256726E-11</v>
      </c>
    </row>
    <row r="86" spans="2:29">
      <c r="B86" s="150"/>
      <c r="C86" s="151"/>
      <c r="D86" s="151"/>
      <c r="E86" s="151"/>
      <c r="F86" s="89"/>
      <c r="G86" s="89"/>
      <c r="H86" s="89"/>
      <c r="I86" s="146"/>
      <c r="K86" s="150"/>
      <c r="L86" s="151"/>
      <c r="M86" s="151"/>
      <c r="N86" s="151"/>
      <c r="O86" s="89"/>
      <c r="P86" s="89"/>
      <c r="Q86" s="89"/>
      <c r="R86" s="146"/>
      <c r="T86" s="150">
        <v>672</v>
      </c>
      <c r="U86" s="151">
        <v>673</v>
      </c>
      <c r="V86" s="151">
        <v>674</v>
      </c>
      <c r="W86" s="151">
        <v>675</v>
      </c>
      <c r="X86" s="89">
        <v>676</v>
      </c>
      <c r="Y86" s="89">
        <v>677</v>
      </c>
      <c r="Z86" s="89">
        <v>678</v>
      </c>
      <c r="AA86" s="146">
        <v>679</v>
      </c>
      <c r="AC86" s="162">
        <v>2.3314434827170701E-9</v>
      </c>
    </row>
    <row r="87" spans="2:29">
      <c r="B87" s="178" t="s">
        <v>251</v>
      </c>
      <c r="C87" s="175"/>
      <c r="D87" s="175"/>
      <c r="E87" s="175"/>
      <c r="F87" s="175"/>
      <c r="G87" s="175"/>
      <c r="H87" s="175"/>
      <c r="I87" s="176"/>
      <c r="K87" s="178" t="s">
        <v>252</v>
      </c>
      <c r="L87" s="175"/>
      <c r="M87" s="175"/>
      <c r="N87" s="175"/>
      <c r="O87" s="175"/>
      <c r="P87" s="175"/>
      <c r="Q87" s="175"/>
      <c r="R87" s="176"/>
      <c r="T87" s="145">
        <v>680</v>
      </c>
      <c r="U87" s="89">
        <v>681</v>
      </c>
      <c r="V87" s="89">
        <v>682</v>
      </c>
      <c r="W87" s="89">
        <v>683</v>
      </c>
      <c r="X87" s="89">
        <v>684</v>
      </c>
      <c r="Y87" s="89">
        <v>685</v>
      </c>
      <c r="Z87" s="89">
        <v>686</v>
      </c>
      <c r="AA87" s="146">
        <v>687</v>
      </c>
      <c r="AC87" s="110">
        <v>1.7187820049002699E-4</v>
      </c>
    </row>
    <row r="88" spans="2:29">
      <c r="B88" s="178"/>
      <c r="C88" s="175"/>
      <c r="D88" s="175"/>
      <c r="E88" s="151"/>
      <c r="F88" s="89"/>
      <c r="G88" s="89"/>
      <c r="H88" s="89"/>
      <c r="I88" s="146"/>
      <c r="K88" s="178"/>
      <c r="L88" s="175"/>
      <c r="M88" s="175"/>
      <c r="N88" s="151"/>
      <c r="O88" s="89"/>
      <c r="P88" s="89"/>
      <c r="Q88" s="89"/>
      <c r="R88" s="146"/>
      <c r="T88" s="150">
        <v>688</v>
      </c>
      <c r="U88" s="151">
        <v>689</v>
      </c>
      <c r="V88" s="151">
        <v>690</v>
      </c>
      <c r="W88" s="151">
        <v>691</v>
      </c>
      <c r="X88" s="89">
        <v>692</v>
      </c>
      <c r="Y88" s="89">
        <v>693</v>
      </c>
      <c r="Z88" s="89">
        <v>694</v>
      </c>
      <c r="AA88" s="146">
        <v>695</v>
      </c>
      <c r="AC88" s="162">
        <v>4.1652216398180202E-11</v>
      </c>
    </row>
    <row r="89" spans="2:29">
      <c r="B89" s="145"/>
      <c r="C89" s="89"/>
      <c r="D89" s="89"/>
      <c r="E89" s="89"/>
      <c r="F89" s="89"/>
      <c r="G89" s="89"/>
      <c r="H89" s="89"/>
      <c r="I89" s="146"/>
      <c r="K89" s="145"/>
      <c r="L89" s="89"/>
      <c r="M89" s="89"/>
      <c r="N89" s="89"/>
      <c r="O89" s="89"/>
      <c r="P89" s="89"/>
      <c r="Q89" s="89"/>
      <c r="R89" s="146"/>
      <c r="T89" s="145">
        <v>696</v>
      </c>
      <c r="U89" s="89">
        <v>697</v>
      </c>
      <c r="V89" s="89">
        <v>698</v>
      </c>
      <c r="W89" s="89">
        <v>699</v>
      </c>
      <c r="X89" s="89">
        <v>700</v>
      </c>
      <c r="Y89" s="89">
        <v>701</v>
      </c>
      <c r="Z89" s="89">
        <v>702</v>
      </c>
      <c r="AA89" s="146">
        <v>703</v>
      </c>
      <c r="AC89" s="162">
        <v>5.2540620933026103E-39</v>
      </c>
    </row>
    <row r="90" spans="2:29">
      <c r="B90" s="150"/>
      <c r="C90" s="151"/>
      <c r="D90" s="151"/>
      <c r="E90" s="151"/>
      <c r="F90" s="89"/>
      <c r="G90" s="89"/>
      <c r="H90" s="89"/>
      <c r="I90" s="146"/>
      <c r="K90" s="150"/>
      <c r="L90" s="151"/>
      <c r="M90" s="151"/>
      <c r="N90" s="151"/>
      <c r="O90" s="89"/>
      <c r="P90" s="89"/>
      <c r="Q90" s="89"/>
      <c r="R90" s="146"/>
      <c r="T90" s="150">
        <v>704</v>
      </c>
      <c r="U90" s="151">
        <v>705</v>
      </c>
      <c r="V90" s="151">
        <v>706</v>
      </c>
      <c r="W90" s="151">
        <v>707</v>
      </c>
      <c r="X90" s="89">
        <v>708</v>
      </c>
      <c r="Y90" s="89">
        <v>709</v>
      </c>
      <c r="Z90" s="89">
        <v>710</v>
      </c>
      <c r="AA90" s="146">
        <v>711</v>
      </c>
      <c r="AC90" s="110">
        <v>0</v>
      </c>
    </row>
    <row r="91" spans="2:29">
      <c r="B91" s="145"/>
      <c r="C91" s="89"/>
      <c r="D91" s="89"/>
      <c r="E91" s="89"/>
      <c r="F91" s="89"/>
      <c r="G91" s="89"/>
      <c r="H91" s="89"/>
      <c r="I91" s="146"/>
      <c r="K91" s="145"/>
      <c r="L91" s="89"/>
      <c r="M91" s="89"/>
      <c r="N91" s="89"/>
      <c r="O91" s="89"/>
      <c r="P91" s="89"/>
      <c r="Q91" s="89"/>
      <c r="R91" s="146"/>
      <c r="T91" s="145">
        <v>712</v>
      </c>
      <c r="U91" s="89">
        <v>713</v>
      </c>
      <c r="V91" s="89">
        <v>714</v>
      </c>
      <c r="W91" s="89">
        <v>715</v>
      </c>
      <c r="X91" s="89">
        <v>716</v>
      </c>
      <c r="Y91" s="89">
        <v>717</v>
      </c>
      <c r="Z91" s="89">
        <v>718</v>
      </c>
      <c r="AA91" s="146">
        <v>719</v>
      </c>
      <c r="AC91" s="110">
        <v>0</v>
      </c>
    </row>
    <row r="92" spans="2:29">
      <c r="B92" s="150"/>
      <c r="C92" s="151"/>
      <c r="D92" s="151"/>
      <c r="E92" s="151"/>
      <c r="F92" s="89"/>
      <c r="G92" s="89"/>
      <c r="H92" s="89"/>
      <c r="I92" s="146"/>
      <c r="K92" s="150"/>
      <c r="L92" s="151"/>
      <c r="M92" s="151"/>
      <c r="N92" s="151"/>
      <c r="O92" s="89"/>
      <c r="P92" s="89"/>
      <c r="Q92" s="89"/>
      <c r="R92" s="146"/>
      <c r="T92" s="150">
        <v>720</v>
      </c>
      <c r="U92" s="151">
        <v>721</v>
      </c>
      <c r="V92" s="151">
        <v>722</v>
      </c>
      <c r="W92" s="151">
        <v>723</v>
      </c>
      <c r="X92" s="89">
        <v>724</v>
      </c>
      <c r="Y92" s="89">
        <v>725</v>
      </c>
      <c r="Z92" s="89">
        <v>726</v>
      </c>
      <c r="AA92" s="146">
        <v>727</v>
      </c>
      <c r="AC92" s="110">
        <v>0</v>
      </c>
    </row>
    <row r="93" spans="2:29">
      <c r="B93" s="145"/>
      <c r="C93" s="89"/>
      <c r="D93" s="89"/>
      <c r="E93" s="89"/>
      <c r="F93" s="89"/>
      <c r="G93" s="89"/>
      <c r="H93" s="89"/>
      <c r="I93" s="146"/>
      <c r="K93" s="145"/>
      <c r="L93" s="89"/>
      <c r="M93" s="89"/>
      <c r="N93" s="89"/>
      <c r="O93" s="89"/>
      <c r="P93" s="89"/>
      <c r="Q93" s="89"/>
      <c r="R93" s="146"/>
      <c r="T93" s="145">
        <v>728</v>
      </c>
      <c r="U93" s="89">
        <v>729</v>
      </c>
      <c r="V93" s="89">
        <v>730</v>
      </c>
      <c r="W93" s="89">
        <v>731</v>
      </c>
      <c r="X93" s="89">
        <v>732</v>
      </c>
      <c r="Y93" s="89">
        <v>733</v>
      </c>
      <c r="Z93" s="89">
        <v>734</v>
      </c>
      <c r="AA93" s="146">
        <v>735</v>
      </c>
      <c r="AC93" s="110">
        <v>0</v>
      </c>
    </row>
    <row r="94" spans="2:29">
      <c r="B94" s="150"/>
      <c r="C94" s="151"/>
      <c r="D94" s="151"/>
      <c r="E94" s="151"/>
      <c r="F94" s="89"/>
      <c r="G94" s="89"/>
      <c r="H94" s="89"/>
      <c r="I94" s="146"/>
      <c r="K94" s="150"/>
      <c r="L94" s="151"/>
      <c r="M94" s="151"/>
      <c r="N94" s="151"/>
      <c r="O94" s="89"/>
      <c r="P94" s="89"/>
      <c r="Q94" s="89"/>
      <c r="R94" s="146"/>
      <c r="T94" s="150">
        <v>736</v>
      </c>
      <c r="U94" s="151">
        <v>737</v>
      </c>
      <c r="V94" s="151">
        <v>738</v>
      </c>
      <c r="W94" s="151">
        <v>739</v>
      </c>
      <c r="X94" s="89">
        <v>740</v>
      </c>
      <c r="Y94" s="89">
        <v>741</v>
      </c>
      <c r="Z94" s="89">
        <v>742</v>
      </c>
      <c r="AA94" s="146">
        <v>743</v>
      </c>
      <c r="AC94" s="110">
        <v>0</v>
      </c>
    </row>
    <row r="95" spans="2:29">
      <c r="B95" s="145"/>
      <c r="C95" s="89"/>
      <c r="D95" s="89"/>
      <c r="E95" s="89"/>
      <c r="F95" s="89"/>
      <c r="G95" s="89"/>
      <c r="H95" s="89"/>
      <c r="I95" s="146"/>
      <c r="K95" s="145"/>
      <c r="L95" s="89"/>
      <c r="M95" s="89"/>
      <c r="N95" s="89"/>
      <c r="O95" s="89"/>
      <c r="P95" s="89"/>
      <c r="Q95" s="89"/>
      <c r="R95" s="146"/>
      <c r="T95" s="145">
        <v>744</v>
      </c>
      <c r="U95" s="89">
        <v>745</v>
      </c>
      <c r="V95" s="89">
        <v>746</v>
      </c>
      <c r="W95" s="89">
        <v>747</v>
      </c>
      <c r="X95" s="89">
        <v>748</v>
      </c>
      <c r="Y95" s="89">
        <v>749</v>
      </c>
      <c r="Z95" s="89">
        <v>750</v>
      </c>
      <c r="AA95" s="146">
        <v>751</v>
      </c>
      <c r="AC95" s="110">
        <v>0</v>
      </c>
    </row>
    <row r="96" spans="2:29">
      <c r="B96" s="150"/>
      <c r="C96" s="151"/>
      <c r="D96" s="151"/>
      <c r="E96" s="151"/>
      <c r="F96" s="89"/>
      <c r="G96" s="89"/>
      <c r="H96" s="89"/>
      <c r="I96" s="146"/>
      <c r="K96" s="150"/>
      <c r="L96" s="151"/>
      <c r="M96" s="151"/>
      <c r="N96" s="151"/>
      <c r="O96" s="89"/>
      <c r="P96" s="89"/>
      <c r="Q96" s="89"/>
      <c r="R96" s="146"/>
      <c r="T96" s="150">
        <v>752</v>
      </c>
      <c r="U96" s="151">
        <v>753</v>
      </c>
      <c r="V96" s="151">
        <v>754</v>
      </c>
      <c r="W96" s="151">
        <v>755</v>
      </c>
      <c r="X96" s="89">
        <v>756</v>
      </c>
      <c r="Y96" s="89">
        <v>757</v>
      </c>
      <c r="Z96" s="89">
        <v>758</v>
      </c>
      <c r="AA96" s="146">
        <v>759</v>
      </c>
      <c r="AC96" s="110">
        <v>0</v>
      </c>
    </row>
    <row r="97" spans="2:29">
      <c r="B97" s="145"/>
      <c r="C97" s="89"/>
      <c r="D97" s="89"/>
      <c r="E97" s="89"/>
      <c r="F97" s="89"/>
      <c r="G97" s="89"/>
      <c r="H97" s="89"/>
      <c r="I97" s="146"/>
      <c r="K97" s="145"/>
      <c r="L97" s="89"/>
      <c r="M97" s="89"/>
      <c r="N97" s="89"/>
      <c r="O97" s="89"/>
      <c r="P97" s="89"/>
      <c r="Q97" s="89"/>
      <c r="R97" s="146"/>
      <c r="T97" s="145">
        <v>760</v>
      </c>
      <c r="U97" s="89">
        <v>761</v>
      </c>
      <c r="V97" s="89">
        <v>762</v>
      </c>
      <c r="W97" s="89">
        <v>763</v>
      </c>
      <c r="X97" s="89">
        <v>764</v>
      </c>
      <c r="Y97" s="89">
        <v>765</v>
      </c>
      <c r="Z97" s="89">
        <v>766</v>
      </c>
      <c r="AA97" s="146">
        <v>767</v>
      </c>
      <c r="AC97" s="110">
        <v>0</v>
      </c>
    </row>
    <row r="98" spans="2:29">
      <c r="B98" s="150"/>
      <c r="C98" s="151"/>
      <c r="D98" s="151"/>
      <c r="E98" s="151"/>
      <c r="F98" s="89"/>
      <c r="G98" s="89"/>
      <c r="H98" s="89"/>
      <c r="I98" s="146"/>
      <c r="K98" s="150"/>
      <c r="L98" s="151"/>
      <c r="M98" s="151"/>
      <c r="N98" s="151"/>
      <c r="O98" s="89"/>
      <c r="P98" s="89"/>
      <c r="Q98" s="89"/>
      <c r="R98" s="146"/>
      <c r="T98" s="150">
        <v>768</v>
      </c>
      <c r="U98" s="151">
        <v>769</v>
      </c>
      <c r="V98" s="151">
        <v>770</v>
      </c>
      <c r="W98" s="151">
        <v>771</v>
      </c>
      <c r="X98" s="89">
        <v>772</v>
      </c>
      <c r="Y98" s="89">
        <v>773</v>
      </c>
      <c r="Z98" s="89">
        <v>774</v>
      </c>
      <c r="AA98" s="146">
        <v>775</v>
      </c>
      <c r="AC98" s="110">
        <v>0</v>
      </c>
    </row>
    <row r="99" spans="2:29">
      <c r="B99" s="145"/>
      <c r="C99" s="89"/>
      <c r="D99" s="89"/>
      <c r="E99" s="89"/>
      <c r="F99" s="89"/>
      <c r="G99" s="89"/>
      <c r="H99" s="89"/>
      <c r="I99" s="146"/>
      <c r="K99" s="145"/>
      <c r="L99" s="89"/>
      <c r="M99" s="89"/>
      <c r="N99" s="89"/>
      <c r="O99" s="89"/>
      <c r="P99" s="89"/>
      <c r="Q99" s="89"/>
      <c r="R99" s="146"/>
      <c r="T99" s="145">
        <v>776</v>
      </c>
      <c r="U99" s="89">
        <v>777</v>
      </c>
      <c r="V99" s="89">
        <v>778</v>
      </c>
      <c r="W99" s="89">
        <v>779</v>
      </c>
      <c r="X99" s="89">
        <v>780</v>
      </c>
      <c r="Y99" s="89">
        <v>781</v>
      </c>
      <c r="Z99" s="89">
        <v>782</v>
      </c>
      <c r="AA99" s="146">
        <v>783</v>
      </c>
      <c r="AC99" s="110">
        <v>0</v>
      </c>
    </row>
    <row r="100" spans="2:29">
      <c r="B100" s="150"/>
      <c r="C100" s="151"/>
      <c r="D100" s="151"/>
      <c r="E100" s="151"/>
      <c r="F100" s="89"/>
      <c r="G100" s="89"/>
      <c r="H100" s="89"/>
      <c r="I100" s="146"/>
      <c r="K100" s="150"/>
      <c r="L100" s="151"/>
      <c r="M100" s="151"/>
      <c r="N100" s="151"/>
      <c r="O100" s="89"/>
      <c r="P100" s="89"/>
      <c r="Q100" s="89"/>
      <c r="R100" s="146"/>
      <c r="T100" s="150">
        <v>784</v>
      </c>
      <c r="U100" s="151">
        <v>785</v>
      </c>
      <c r="V100" s="151">
        <v>786</v>
      </c>
      <c r="W100" s="151">
        <v>787</v>
      </c>
      <c r="X100" s="89">
        <v>788</v>
      </c>
      <c r="Y100" s="89">
        <v>789</v>
      </c>
      <c r="Z100" s="89">
        <v>790</v>
      </c>
      <c r="AA100" s="146">
        <v>791</v>
      </c>
      <c r="AC100" s="162">
        <v>6.6380300722812503E-7</v>
      </c>
    </row>
    <row r="101" spans="2:29">
      <c r="B101" s="145"/>
      <c r="C101" s="89"/>
      <c r="D101" s="89"/>
      <c r="E101" s="89"/>
      <c r="F101" s="89"/>
      <c r="G101" s="89"/>
      <c r="H101" s="89"/>
      <c r="I101" s="146"/>
      <c r="K101" s="145"/>
      <c r="L101" s="89"/>
      <c r="M101" s="89"/>
      <c r="N101" s="89"/>
      <c r="O101" s="89"/>
      <c r="P101" s="89"/>
      <c r="Q101" s="89"/>
      <c r="R101" s="146"/>
      <c r="T101" s="145">
        <v>792</v>
      </c>
      <c r="U101" s="89">
        <v>793</v>
      </c>
      <c r="V101" s="89">
        <v>794</v>
      </c>
      <c r="W101" s="89">
        <v>795</v>
      </c>
      <c r="X101" s="89">
        <v>796</v>
      </c>
      <c r="Y101" s="89">
        <v>797</v>
      </c>
      <c r="Z101" s="89">
        <v>798</v>
      </c>
      <c r="AA101" s="146">
        <v>799</v>
      </c>
      <c r="AC101" s="162">
        <v>1.024251256726E-11</v>
      </c>
    </row>
    <row r="102" spans="2:29">
      <c r="B102" s="178" t="s">
        <v>192</v>
      </c>
      <c r="C102" s="175"/>
      <c r="D102" s="175"/>
      <c r="E102" s="175"/>
      <c r="F102" s="175"/>
      <c r="G102" s="175"/>
      <c r="H102" s="175"/>
      <c r="I102" s="176"/>
      <c r="K102" s="185" t="s">
        <v>253</v>
      </c>
      <c r="L102" s="175"/>
      <c r="M102" s="175"/>
      <c r="N102" s="175"/>
      <c r="O102" s="175"/>
      <c r="P102" s="175"/>
      <c r="Q102" s="175"/>
      <c r="R102" s="176"/>
      <c r="T102" s="150">
        <v>800</v>
      </c>
      <c r="U102" s="151">
        <v>801</v>
      </c>
      <c r="V102" s="151">
        <v>802</v>
      </c>
      <c r="W102" s="151">
        <v>803</v>
      </c>
      <c r="X102" s="89">
        <v>804</v>
      </c>
      <c r="Y102" s="89">
        <v>805</v>
      </c>
      <c r="Z102" s="89">
        <v>806</v>
      </c>
      <c r="AA102" s="146">
        <v>807</v>
      </c>
      <c r="AC102" s="162">
        <v>9.32486621252337E-9</v>
      </c>
    </row>
    <row r="103" spans="2:29">
      <c r="B103" s="178"/>
      <c r="C103" s="175"/>
      <c r="D103" s="175"/>
      <c r="E103" s="175"/>
      <c r="F103" s="175"/>
      <c r="G103" s="175"/>
      <c r="H103" s="175"/>
      <c r="I103" s="176"/>
      <c r="K103" s="178"/>
      <c r="L103" s="175"/>
      <c r="M103" s="175"/>
      <c r="N103" s="175"/>
      <c r="O103" s="175"/>
      <c r="P103" s="175"/>
      <c r="Q103" s="175"/>
      <c r="R103" s="176"/>
      <c r="T103" s="145">
        <v>808</v>
      </c>
      <c r="U103" s="89">
        <v>809</v>
      </c>
      <c r="V103" s="89">
        <v>810</v>
      </c>
      <c r="W103" s="89">
        <v>811</v>
      </c>
      <c r="X103" s="89">
        <v>812</v>
      </c>
      <c r="Y103" s="89">
        <v>813</v>
      </c>
      <c r="Z103" s="89">
        <v>814</v>
      </c>
      <c r="AA103" s="146">
        <v>815</v>
      </c>
      <c r="AC103" s="162">
        <v>6.48387121771065E-10</v>
      </c>
    </row>
    <row r="104" spans="2:29">
      <c r="B104" s="178"/>
      <c r="C104" s="175"/>
      <c r="D104" s="175"/>
      <c r="E104" s="175"/>
      <c r="F104" s="89"/>
      <c r="G104" s="89"/>
      <c r="H104" s="89"/>
      <c r="I104" s="146"/>
      <c r="K104" s="154"/>
      <c r="L104" s="155"/>
      <c r="M104" s="155"/>
      <c r="N104" s="155"/>
      <c r="O104" s="89"/>
      <c r="P104" s="89"/>
      <c r="Q104" s="89"/>
      <c r="R104" s="146"/>
      <c r="T104" s="150">
        <v>816</v>
      </c>
      <c r="U104" s="151">
        <v>817</v>
      </c>
      <c r="V104" s="151">
        <v>818</v>
      </c>
      <c r="W104" s="151">
        <v>819</v>
      </c>
      <c r="X104" s="89">
        <v>820</v>
      </c>
      <c r="Y104" s="89">
        <v>821</v>
      </c>
      <c r="Z104" s="89">
        <v>822</v>
      </c>
      <c r="AA104" s="146">
        <v>823</v>
      </c>
      <c r="AC104" s="162">
        <v>4.05171243778035E-11</v>
      </c>
    </row>
    <row r="105" spans="2:29">
      <c r="B105" s="145"/>
      <c r="C105" s="89"/>
      <c r="D105" s="89"/>
      <c r="E105" s="89"/>
      <c r="F105" s="89"/>
      <c r="G105" s="89"/>
      <c r="H105" s="89"/>
      <c r="I105" s="146"/>
      <c r="K105" s="145"/>
      <c r="L105" s="89"/>
      <c r="M105" s="89"/>
      <c r="N105" s="89"/>
      <c r="O105" s="89"/>
      <c r="P105" s="89"/>
      <c r="Q105" s="89"/>
      <c r="R105" s="146"/>
      <c r="T105" s="145">
        <v>824</v>
      </c>
      <c r="U105" s="89">
        <v>825</v>
      </c>
      <c r="V105" s="89">
        <v>826</v>
      </c>
      <c r="W105" s="89">
        <v>827</v>
      </c>
      <c r="X105" s="89">
        <v>828</v>
      </c>
      <c r="Y105" s="89">
        <v>829</v>
      </c>
      <c r="Z105" s="89">
        <v>830</v>
      </c>
      <c r="AA105" s="146">
        <v>831</v>
      </c>
      <c r="AC105" s="162">
        <v>4.42575597233867E-39</v>
      </c>
    </row>
    <row r="106" spans="2:29">
      <c r="B106" s="150"/>
      <c r="C106" s="151"/>
      <c r="D106" s="151"/>
      <c r="E106" s="151"/>
      <c r="F106" s="89"/>
      <c r="G106" s="89"/>
      <c r="H106" s="89"/>
      <c r="I106" s="146"/>
      <c r="K106" s="150"/>
      <c r="L106" s="151"/>
      <c r="M106" s="151"/>
      <c r="N106" s="151"/>
      <c r="O106" s="89"/>
      <c r="P106" s="89"/>
      <c r="Q106" s="89"/>
      <c r="R106" s="146"/>
      <c r="T106" s="150">
        <v>832</v>
      </c>
      <c r="U106" s="151">
        <v>833</v>
      </c>
      <c r="V106" s="151">
        <v>834</v>
      </c>
      <c r="W106" s="151">
        <v>835</v>
      </c>
      <c r="X106" s="89">
        <v>836</v>
      </c>
      <c r="Y106" s="89">
        <v>837</v>
      </c>
      <c r="Z106" s="89">
        <v>838</v>
      </c>
      <c r="AA106" s="146">
        <v>839</v>
      </c>
      <c r="AC106" s="110">
        <v>0</v>
      </c>
    </row>
    <row r="107" spans="2:29">
      <c r="B107" s="145"/>
      <c r="C107" s="89"/>
      <c r="D107" s="89"/>
      <c r="E107" s="89"/>
      <c r="F107" s="89"/>
      <c r="G107" s="89"/>
      <c r="H107" s="89"/>
      <c r="I107" s="146"/>
      <c r="K107" s="145"/>
      <c r="L107" s="89"/>
      <c r="M107" s="89"/>
      <c r="N107" s="89"/>
      <c r="O107" s="89"/>
      <c r="P107" s="89"/>
      <c r="Q107" s="89"/>
      <c r="R107" s="146"/>
      <c r="T107" s="145">
        <v>840</v>
      </c>
      <c r="U107" s="89">
        <v>841</v>
      </c>
      <c r="V107" s="89">
        <v>842</v>
      </c>
      <c r="W107" s="89">
        <v>843</v>
      </c>
      <c r="X107" s="89">
        <v>844</v>
      </c>
      <c r="Y107" s="89">
        <v>845</v>
      </c>
      <c r="Z107" s="89">
        <v>846</v>
      </c>
      <c r="AA107" s="146">
        <v>847</v>
      </c>
      <c r="AC107" s="110">
        <v>0</v>
      </c>
    </row>
    <row r="108" spans="2:29">
      <c r="B108" s="150"/>
      <c r="C108" s="151"/>
      <c r="D108" s="151"/>
      <c r="E108" s="151"/>
      <c r="F108" s="89"/>
      <c r="G108" s="89"/>
      <c r="H108" s="89"/>
      <c r="I108" s="146"/>
      <c r="K108" s="150"/>
      <c r="L108" s="151"/>
      <c r="M108" s="151"/>
      <c r="N108" s="151"/>
      <c r="O108" s="89"/>
      <c r="P108" s="89"/>
      <c r="Q108" s="89"/>
      <c r="R108" s="146"/>
      <c r="T108" s="150">
        <v>848</v>
      </c>
      <c r="U108" s="151">
        <v>849</v>
      </c>
      <c r="V108" s="151">
        <v>850</v>
      </c>
      <c r="W108" s="151">
        <v>851</v>
      </c>
      <c r="X108" s="89">
        <v>852</v>
      </c>
      <c r="Y108" s="89">
        <v>853</v>
      </c>
      <c r="Z108" s="89">
        <v>854</v>
      </c>
      <c r="AA108" s="146">
        <v>855</v>
      </c>
      <c r="AC108" s="110">
        <v>0</v>
      </c>
    </row>
    <row r="109" spans="2:29">
      <c r="B109" s="145"/>
      <c r="C109" s="89"/>
      <c r="D109" s="89"/>
      <c r="E109" s="89"/>
      <c r="F109" s="89"/>
      <c r="G109" s="89"/>
      <c r="H109" s="89"/>
      <c r="I109" s="146"/>
      <c r="K109" s="145"/>
      <c r="L109" s="89"/>
      <c r="M109" s="89"/>
      <c r="N109" s="89"/>
      <c r="O109" s="89"/>
      <c r="P109" s="89"/>
      <c r="Q109" s="89"/>
      <c r="R109" s="146"/>
      <c r="T109" s="145">
        <v>856</v>
      </c>
      <c r="U109" s="89">
        <v>857</v>
      </c>
      <c r="V109" s="89">
        <v>858</v>
      </c>
      <c r="W109" s="89">
        <v>859</v>
      </c>
      <c r="X109" s="89">
        <v>860</v>
      </c>
      <c r="Y109" s="89">
        <v>861</v>
      </c>
      <c r="Z109" s="89">
        <v>862</v>
      </c>
      <c r="AA109" s="146">
        <v>863</v>
      </c>
      <c r="AC109" s="110">
        <v>0</v>
      </c>
    </row>
    <row r="110" spans="2:29">
      <c r="B110" s="150"/>
      <c r="C110" s="151"/>
      <c r="D110" s="151"/>
      <c r="E110" s="151"/>
      <c r="F110" s="89"/>
      <c r="G110" s="89"/>
      <c r="H110" s="89"/>
      <c r="I110" s="146"/>
      <c r="K110" s="150"/>
      <c r="L110" s="151"/>
      <c r="M110" s="151"/>
      <c r="N110" s="151"/>
      <c r="O110" s="89"/>
      <c r="P110" s="89"/>
      <c r="Q110" s="89"/>
      <c r="R110" s="146"/>
      <c r="T110" s="150">
        <v>864</v>
      </c>
      <c r="U110" s="151">
        <v>865</v>
      </c>
      <c r="V110" s="151">
        <v>866</v>
      </c>
      <c r="W110" s="151">
        <v>867</v>
      </c>
      <c r="X110" s="89">
        <v>868</v>
      </c>
      <c r="Y110" s="89">
        <v>869</v>
      </c>
      <c r="Z110" s="89">
        <v>870</v>
      </c>
      <c r="AA110" s="146">
        <v>871</v>
      </c>
      <c r="AC110" s="110">
        <v>0</v>
      </c>
    </row>
    <row r="111" spans="2:29">
      <c r="B111" s="145"/>
      <c r="C111" s="89"/>
      <c r="D111" s="89"/>
      <c r="E111" s="89"/>
      <c r="F111" s="89"/>
      <c r="G111" s="89"/>
      <c r="H111" s="89"/>
      <c r="I111" s="146"/>
      <c r="K111" s="145"/>
      <c r="L111" s="89"/>
      <c r="M111" s="89"/>
      <c r="N111" s="89"/>
      <c r="O111" s="89"/>
      <c r="P111" s="89"/>
      <c r="Q111" s="89"/>
      <c r="R111" s="146"/>
      <c r="T111" s="145">
        <v>872</v>
      </c>
      <c r="U111" s="89">
        <v>873</v>
      </c>
      <c r="V111" s="89">
        <v>874</v>
      </c>
      <c r="W111" s="89">
        <v>875</v>
      </c>
      <c r="X111" s="89">
        <v>876</v>
      </c>
      <c r="Y111" s="89">
        <v>877</v>
      </c>
      <c r="Z111" s="89">
        <v>878</v>
      </c>
      <c r="AA111" s="146">
        <v>879</v>
      </c>
      <c r="AC111" s="110">
        <v>0</v>
      </c>
    </row>
    <row r="112" spans="2:29">
      <c r="B112" s="150"/>
      <c r="C112" s="151"/>
      <c r="D112" s="151"/>
      <c r="E112" s="151"/>
      <c r="F112" s="89"/>
      <c r="G112" s="89"/>
      <c r="H112" s="89"/>
      <c r="I112" s="146"/>
      <c r="K112" s="150"/>
      <c r="L112" s="151"/>
      <c r="M112" s="151"/>
      <c r="N112" s="151"/>
      <c r="O112" s="89"/>
      <c r="P112" s="89"/>
      <c r="Q112" s="89"/>
      <c r="R112" s="146"/>
      <c r="T112" s="150">
        <v>880</v>
      </c>
      <c r="U112" s="151">
        <v>881</v>
      </c>
      <c r="V112" s="151">
        <v>882</v>
      </c>
      <c r="W112" s="151">
        <v>883</v>
      </c>
      <c r="X112" s="89">
        <v>884</v>
      </c>
      <c r="Y112" s="89">
        <v>885</v>
      </c>
      <c r="Z112" s="89">
        <v>886</v>
      </c>
      <c r="AA112" s="146">
        <v>887</v>
      </c>
      <c r="AC112" s="110">
        <v>0</v>
      </c>
    </row>
    <row r="113" spans="2:29" ht="17.25" thickBot="1">
      <c r="B113" s="131"/>
      <c r="C113" s="132"/>
      <c r="D113" s="132"/>
      <c r="E113" s="132"/>
      <c r="F113" s="132"/>
      <c r="G113" s="132"/>
      <c r="H113" s="132"/>
      <c r="I113" s="147"/>
      <c r="K113" s="131"/>
      <c r="L113" s="132"/>
      <c r="M113" s="132"/>
      <c r="N113" s="132"/>
      <c r="O113" s="132"/>
      <c r="P113" s="132"/>
      <c r="Q113" s="132"/>
      <c r="R113" s="147"/>
      <c r="T113" s="145">
        <v>888</v>
      </c>
      <c r="U113" s="89">
        <v>889</v>
      </c>
      <c r="V113" s="89">
        <v>890</v>
      </c>
      <c r="W113" s="89">
        <v>891</v>
      </c>
      <c r="X113" s="89">
        <v>892</v>
      </c>
      <c r="Y113" s="89">
        <v>893</v>
      </c>
      <c r="Z113" s="89">
        <v>894</v>
      </c>
      <c r="AA113" s="146">
        <v>895</v>
      </c>
      <c r="AC113" s="110">
        <v>0</v>
      </c>
    </row>
    <row r="114" spans="2:29" ht="17.25" thickTop="1">
      <c r="T114" s="149"/>
      <c r="U114" s="149"/>
      <c r="V114" s="149"/>
      <c r="W114" s="149"/>
      <c r="X114" s="128"/>
      <c r="Y114" s="128"/>
      <c r="Z114" s="128"/>
      <c r="AA114" s="128"/>
      <c r="AC114" s="162">
        <v>1.8930705891762E-7</v>
      </c>
    </row>
    <row r="115" spans="2:29" ht="17.25" thickBot="1">
      <c r="B115" s="111" t="s">
        <v>315</v>
      </c>
      <c r="T115" s="89"/>
      <c r="U115" s="89"/>
      <c r="V115" s="89"/>
      <c r="W115" s="89"/>
      <c r="X115" s="89"/>
      <c r="Y115" s="89"/>
      <c r="Z115" s="89"/>
      <c r="AA115" s="89"/>
      <c r="AC115" s="162">
        <v>6.5660168502290596E-7</v>
      </c>
    </row>
    <row r="116" spans="2:29" ht="17.25" thickTop="1">
      <c r="B116" s="179" t="s">
        <v>256</v>
      </c>
      <c r="C116" s="180"/>
      <c r="D116" s="180"/>
      <c r="E116" s="180"/>
      <c r="F116" s="180" t="s">
        <v>256</v>
      </c>
      <c r="G116" s="180"/>
      <c r="H116" s="180"/>
      <c r="I116" s="181"/>
      <c r="K116" s="179">
        <v>50463242</v>
      </c>
      <c r="L116" s="180"/>
      <c r="M116" s="180"/>
      <c r="N116" s="180"/>
      <c r="O116" s="180">
        <v>1</v>
      </c>
      <c r="P116" s="180"/>
      <c r="Q116" s="180"/>
      <c r="R116" s="181"/>
      <c r="S116" s="103">
        <v>0</v>
      </c>
      <c r="T116" s="148">
        <v>0</v>
      </c>
      <c r="U116" s="149">
        <v>1</v>
      </c>
      <c r="V116" s="149">
        <v>2</v>
      </c>
      <c r="W116" s="149">
        <v>3</v>
      </c>
      <c r="X116" s="128">
        <v>4</v>
      </c>
      <c r="Y116" s="128">
        <v>5</v>
      </c>
      <c r="Z116" s="128">
        <v>6</v>
      </c>
      <c r="AA116" s="144">
        <v>7</v>
      </c>
      <c r="AC116" s="162">
        <v>1.7293424348232501E-41</v>
      </c>
    </row>
    <row r="117" spans="2:29">
      <c r="B117" s="145"/>
      <c r="C117" s="89"/>
      <c r="D117" s="89"/>
      <c r="E117" s="89"/>
      <c r="F117" s="175" t="s">
        <v>266</v>
      </c>
      <c r="G117" s="175"/>
      <c r="H117" s="175"/>
      <c r="I117" s="176"/>
      <c r="K117" s="145"/>
      <c r="L117" s="89"/>
      <c r="M117" s="89"/>
      <c r="N117" s="89"/>
      <c r="O117" s="175">
        <v>10800</v>
      </c>
      <c r="P117" s="175"/>
      <c r="Q117" s="175"/>
      <c r="R117" s="176"/>
      <c r="S117" s="103">
        <v>2</v>
      </c>
      <c r="T117" s="145">
        <v>8</v>
      </c>
      <c r="U117" s="89">
        <v>9</v>
      </c>
      <c r="V117" s="89">
        <v>10</v>
      </c>
      <c r="W117" s="89">
        <v>11</v>
      </c>
      <c r="X117" s="89">
        <v>12</v>
      </c>
      <c r="Y117" s="89">
        <v>13</v>
      </c>
      <c r="Z117" s="89">
        <v>14</v>
      </c>
      <c r="AA117" s="146">
        <v>15</v>
      </c>
      <c r="AC117" s="110">
        <v>0</v>
      </c>
    </row>
    <row r="118" spans="2:29">
      <c r="B118" s="163" t="s">
        <v>267</v>
      </c>
      <c r="C118" s="164"/>
      <c r="D118" s="164"/>
      <c r="E118" s="164"/>
      <c r="F118" s="164" t="s">
        <v>268</v>
      </c>
      <c r="G118" s="164"/>
      <c r="H118" s="164"/>
      <c r="I118" s="165"/>
      <c r="K118" s="163">
        <v>1</v>
      </c>
      <c r="L118" s="164"/>
      <c r="M118" s="164"/>
      <c r="N118" s="164"/>
      <c r="O118" s="164">
        <v>1</v>
      </c>
      <c r="P118" s="164"/>
      <c r="Q118" s="164"/>
      <c r="R118" s="165"/>
      <c r="S118" s="103">
        <v>4</v>
      </c>
      <c r="T118" s="150">
        <v>16</v>
      </c>
      <c r="U118" s="151">
        <v>17</v>
      </c>
      <c r="V118" s="151">
        <v>18</v>
      </c>
      <c r="W118" s="151">
        <v>19</v>
      </c>
      <c r="X118" s="89">
        <v>20</v>
      </c>
      <c r="Y118" s="89">
        <v>21</v>
      </c>
      <c r="Z118" s="89">
        <v>22</v>
      </c>
      <c r="AA118" s="146">
        <v>23</v>
      </c>
      <c r="AC118" s="110">
        <v>0</v>
      </c>
    </row>
    <row r="119" spans="2:29">
      <c r="B119" s="178" t="s">
        <v>265</v>
      </c>
      <c r="C119" s="175"/>
      <c r="D119" s="175"/>
      <c r="E119" s="175"/>
      <c r="F119" s="89"/>
      <c r="G119" s="89"/>
      <c r="H119" s="89"/>
      <c r="I119" s="146"/>
      <c r="K119" s="178">
        <v>10801</v>
      </c>
      <c r="L119" s="175"/>
      <c r="M119" s="175"/>
      <c r="N119" s="175"/>
      <c r="O119" s="89"/>
      <c r="P119" s="89"/>
      <c r="Q119" s="89"/>
      <c r="R119" s="146"/>
      <c r="S119" s="103">
        <v>6</v>
      </c>
      <c r="T119" s="145">
        <v>24</v>
      </c>
      <c r="U119" s="89">
        <v>25</v>
      </c>
      <c r="V119" s="89">
        <v>26</v>
      </c>
      <c r="W119" s="89">
        <v>27</v>
      </c>
      <c r="X119" s="89">
        <v>28</v>
      </c>
      <c r="Y119" s="89">
        <v>29</v>
      </c>
      <c r="Z119" s="89">
        <v>30</v>
      </c>
      <c r="AA119" s="146">
        <v>31</v>
      </c>
      <c r="AC119" s="110">
        <v>0</v>
      </c>
    </row>
    <row r="120" spans="2:29">
      <c r="B120" s="178" t="s">
        <v>229</v>
      </c>
      <c r="C120" s="175"/>
      <c r="D120" s="175"/>
      <c r="E120" s="175"/>
      <c r="F120" s="178" t="s">
        <v>287</v>
      </c>
      <c r="G120" s="175"/>
      <c r="H120" s="175"/>
      <c r="I120" s="175"/>
      <c r="K120" s="173" t="s">
        <v>255</v>
      </c>
      <c r="L120" s="175"/>
      <c r="M120" s="175"/>
      <c r="N120" s="175"/>
      <c r="O120" s="89"/>
      <c r="P120" s="89"/>
      <c r="Q120" s="89"/>
      <c r="R120" s="146"/>
      <c r="S120" s="103">
        <v>8</v>
      </c>
      <c r="T120" s="150">
        <v>32</v>
      </c>
      <c r="U120" s="151">
        <v>33</v>
      </c>
      <c r="V120" s="151">
        <v>34</v>
      </c>
      <c r="W120" s="151">
        <v>35</v>
      </c>
      <c r="X120" s="89">
        <v>36</v>
      </c>
      <c r="Y120" s="89">
        <v>37</v>
      </c>
      <c r="Z120" s="89">
        <v>38</v>
      </c>
      <c r="AA120" s="146">
        <v>39</v>
      </c>
      <c r="AC120" s="110">
        <v>0</v>
      </c>
    </row>
    <row r="121" spans="2:29">
      <c r="B121" s="178" t="s">
        <v>272</v>
      </c>
      <c r="C121" s="175"/>
      <c r="D121" s="175"/>
      <c r="E121" s="175"/>
      <c r="F121" s="178" t="s">
        <v>275</v>
      </c>
      <c r="G121" s="175"/>
      <c r="H121" s="175"/>
      <c r="I121" s="175"/>
      <c r="K121" s="145"/>
      <c r="L121" s="89"/>
      <c r="M121" s="89"/>
      <c r="N121" s="89"/>
      <c r="O121" s="89"/>
      <c r="P121" s="89"/>
      <c r="Q121" s="89"/>
      <c r="R121" s="146"/>
      <c r="S121" s="103">
        <v>10</v>
      </c>
      <c r="T121" s="145">
        <v>40</v>
      </c>
      <c r="U121" s="89">
        <v>41</v>
      </c>
      <c r="V121" s="89">
        <v>42</v>
      </c>
      <c r="W121" s="89">
        <v>43</v>
      </c>
      <c r="X121" s="89">
        <v>44</v>
      </c>
      <c r="Y121" s="89">
        <v>45</v>
      </c>
      <c r="Z121" s="89">
        <v>46</v>
      </c>
      <c r="AA121" s="146">
        <v>47</v>
      </c>
      <c r="AC121" s="110">
        <v>0</v>
      </c>
    </row>
    <row r="122" spans="2:29">
      <c r="B122" s="178" t="s">
        <v>276</v>
      </c>
      <c r="C122" s="175"/>
      <c r="D122" s="175"/>
      <c r="E122" s="175"/>
      <c r="F122" s="175" t="s">
        <v>278</v>
      </c>
      <c r="G122" s="175"/>
      <c r="H122" s="175"/>
      <c r="I122" s="176"/>
      <c r="K122" s="150"/>
      <c r="L122" s="151"/>
      <c r="M122" s="151"/>
      <c r="N122" s="151"/>
      <c r="O122" s="164">
        <v>10800</v>
      </c>
      <c r="P122" s="164"/>
      <c r="Q122" s="164"/>
      <c r="R122" s="165"/>
      <c r="S122" s="103">
        <v>12</v>
      </c>
      <c r="T122" s="150">
        <v>48</v>
      </c>
      <c r="U122" s="151">
        <v>49</v>
      </c>
      <c r="V122" s="151">
        <v>50</v>
      </c>
      <c r="W122" s="151">
        <v>51</v>
      </c>
      <c r="X122" s="89">
        <v>52</v>
      </c>
      <c r="Y122" s="89">
        <v>53</v>
      </c>
      <c r="Z122" s="89">
        <v>54</v>
      </c>
      <c r="AA122" s="146">
        <v>55</v>
      </c>
      <c r="AC122" s="110">
        <v>0</v>
      </c>
    </row>
    <row r="123" spans="2:29">
      <c r="B123" s="175" t="s">
        <v>279</v>
      </c>
      <c r="C123" s="175"/>
      <c r="D123" s="175"/>
      <c r="E123" s="176"/>
      <c r="F123" s="178" t="s">
        <v>231</v>
      </c>
      <c r="G123" s="175"/>
      <c r="H123" s="175"/>
      <c r="I123" s="176"/>
      <c r="K123" s="163">
        <v>10800</v>
      </c>
      <c r="L123" s="164"/>
      <c r="M123" s="164"/>
      <c r="N123" s="164"/>
      <c r="O123" s="89"/>
      <c r="P123" s="89"/>
      <c r="Q123" s="89"/>
      <c r="R123" s="146"/>
      <c r="S123" s="103">
        <v>14</v>
      </c>
      <c r="T123" s="145">
        <v>56</v>
      </c>
      <c r="U123" s="89">
        <v>57</v>
      </c>
      <c r="V123" s="89">
        <v>58</v>
      </c>
      <c r="W123" s="89">
        <v>59</v>
      </c>
      <c r="X123" s="89">
        <v>60</v>
      </c>
      <c r="Y123" s="89">
        <v>61</v>
      </c>
      <c r="Z123" s="89">
        <v>62</v>
      </c>
      <c r="AA123" s="146">
        <v>63</v>
      </c>
      <c r="AC123" s="110">
        <v>0</v>
      </c>
    </row>
    <row r="124" spans="2:29">
      <c r="B124" s="175" t="s">
        <v>233</v>
      </c>
      <c r="C124" s="175"/>
      <c r="D124" s="175"/>
      <c r="E124" s="176"/>
      <c r="F124" s="89"/>
      <c r="G124" s="89"/>
      <c r="H124" s="89"/>
      <c r="I124" s="146"/>
      <c r="K124" s="174" t="s">
        <v>257</v>
      </c>
      <c r="L124" s="175"/>
      <c r="M124" s="175"/>
      <c r="N124" s="176"/>
      <c r="S124" s="103">
        <v>16</v>
      </c>
      <c r="T124" s="150">
        <v>64</v>
      </c>
      <c r="U124" s="151">
        <v>65</v>
      </c>
      <c r="V124" s="151">
        <v>66</v>
      </c>
      <c r="W124" s="151">
        <v>67</v>
      </c>
      <c r="X124" s="89">
        <v>68</v>
      </c>
      <c r="Y124" s="89">
        <v>69</v>
      </c>
      <c r="Z124" s="89">
        <v>70</v>
      </c>
      <c r="AA124" s="146">
        <v>71</v>
      </c>
      <c r="AC124" s="110">
        <v>0</v>
      </c>
    </row>
    <row r="125" spans="2:29">
      <c r="B125" s="175" t="s">
        <v>234</v>
      </c>
      <c r="C125" s="175"/>
      <c r="D125" s="175"/>
      <c r="E125" s="176"/>
      <c r="F125" s="178" t="s">
        <v>288</v>
      </c>
      <c r="G125" s="175"/>
      <c r="H125" s="175"/>
      <c r="I125" s="176"/>
      <c r="K125" s="145"/>
      <c r="L125" s="89"/>
      <c r="M125" s="89"/>
      <c r="N125" s="89"/>
      <c r="O125" s="89"/>
      <c r="P125" s="89"/>
      <c r="Q125" s="89"/>
      <c r="R125" s="146"/>
      <c r="S125" s="103">
        <v>18</v>
      </c>
      <c r="T125" s="145">
        <v>72</v>
      </c>
      <c r="U125" s="89">
        <v>73</v>
      </c>
      <c r="V125" s="89">
        <v>74</v>
      </c>
      <c r="W125" s="89">
        <v>75</v>
      </c>
      <c r="X125" s="89">
        <v>76</v>
      </c>
      <c r="Y125" s="89">
        <v>77</v>
      </c>
      <c r="Z125" s="89">
        <v>78</v>
      </c>
      <c r="AA125" s="146">
        <v>79</v>
      </c>
      <c r="AC125" s="110">
        <v>0</v>
      </c>
    </row>
    <row r="126" spans="2:29">
      <c r="B126" s="145"/>
      <c r="C126" s="89"/>
      <c r="D126" s="89"/>
      <c r="E126" s="89"/>
      <c r="F126" s="89"/>
      <c r="G126" s="89"/>
      <c r="H126" s="89"/>
      <c r="I126" s="146"/>
      <c r="K126" s="145"/>
      <c r="L126" s="89"/>
      <c r="M126" s="89"/>
      <c r="N126" s="89"/>
      <c r="O126" s="89"/>
      <c r="P126" s="89"/>
      <c r="Q126" s="89"/>
      <c r="R126" s="146"/>
      <c r="S126" s="103">
        <v>20</v>
      </c>
      <c r="T126" s="150">
        <v>80</v>
      </c>
      <c r="U126" s="151">
        <v>81</v>
      </c>
      <c r="V126" s="151">
        <v>82</v>
      </c>
      <c r="W126" s="151">
        <v>83</v>
      </c>
      <c r="X126" s="89">
        <v>84</v>
      </c>
      <c r="Y126" s="89">
        <v>85</v>
      </c>
      <c r="Z126" s="89">
        <v>86</v>
      </c>
      <c r="AA126" s="146">
        <v>87</v>
      </c>
      <c r="AC126" s="110">
        <v>0</v>
      </c>
    </row>
    <row r="127" spans="2:29">
      <c r="B127" s="145"/>
      <c r="C127" s="89"/>
      <c r="D127" s="89"/>
      <c r="E127" s="89"/>
      <c r="F127" s="183" t="s">
        <v>236</v>
      </c>
      <c r="G127" s="183"/>
      <c r="H127" s="183"/>
      <c r="I127" s="184"/>
      <c r="K127" s="145"/>
      <c r="L127" s="89"/>
      <c r="M127" s="89"/>
      <c r="N127" s="89"/>
      <c r="O127" s="89"/>
      <c r="P127" s="89"/>
      <c r="Q127" s="89"/>
      <c r="R127" s="146"/>
      <c r="S127" s="103">
        <v>22</v>
      </c>
      <c r="T127" s="145">
        <v>88</v>
      </c>
      <c r="U127" s="89">
        <v>89</v>
      </c>
      <c r="V127" s="89">
        <v>90</v>
      </c>
      <c r="W127" s="89">
        <v>91</v>
      </c>
      <c r="X127" s="89">
        <v>92</v>
      </c>
      <c r="Y127" s="89">
        <v>93</v>
      </c>
      <c r="Z127" s="89">
        <v>94</v>
      </c>
      <c r="AA127" s="146">
        <v>95</v>
      </c>
      <c r="AC127" s="110">
        <v>0</v>
      </c>
    </row>
    <row r="128" spans="2:29">
      <c r="B128" s="182" t="s">
        <v>238</v>
      </c>
      <c r="C128" s="183"/>
      <c r="D128" s="183"/>
      <c r="E128" s="183"/>
      <c r="F128" s="164" t="s">
        <v>237</v>
      </c>
      <c r="G128" s="164"/>
      <c r="H128" s="164"/>
      <c r="I128" s="165"/>
      <c r="K128" s="150"/>
      <c r="L128" s="151"/>
      <c r="M128" s="151"/>
      <c r="N128" s="151"/>
      <c r="O128" s="89"/>
      <c r="P128" s="89"/>
      <c r="Q128" s="89"/>
      <c r="R128" s="146"/>
      <c r="S128" s="103">
        <v>24</v>
      </c>
      <c r="T128" s="150">
        <v>96</v>
      </c>
      <c r="U128" s="151">
        <v>97</v>
      </c>
      <c r="V128" s="151">
        <v>98</v>
      </c>
      <c r="W128" s="151">
        <v>99</v>
      </c>
      <c r="X128" s="89">
        <v>100</v>
      </c>
      <c r="Y128" s="89">
        <v>101</v>
      </c>
      <c r="Z128" s="89">
        <v>102</v>
      </c>
      <c r="AA128" s="146">
        <v>103</v>
      </c>
      <c r="AC128" s="110">
        <v>0</v>
      </c>
    </row>
    <row r="129" spans="2:29">
      <c r="B129" s="182" t="s">
        <v>239</v>
      </c>
      <c r="C129" s="183"/>
      <c r="D129" s="183"/>
      <c r="E129" s="183"/>
      <c r="F129" s="164" t="s">
        <v>240</v>
      </c>
      <c r="G129" s="164"/>
      <c r="H129" s="164"/>
      <c r="I129" s="165"/>
      <c r="K129" s="145"/>
      <c r="L129" s="89"/>
      <c r="M129" s="89"/>
      <c r="N129" s="89"/>
      <c r="O129" s="89"/>
      <c r="P129" s="89"/>
      <c r="Q129" s="89"/>
      <c r="R129" s="146"/>
      <c r="S129" s="103">
        <v>26</v>
      </c>
      <c r="T129" s="145">
        <v>104</v>
      </c>
      <c r="U129" s="89">
        <v>105</v>
      </c>
      <c r="V129" s="89">
        <v>106</v>
      </c>
      <c r="W129" s="89">
        <v>107</v>
      </c>
      <c r="X129" s="89">
        <v>108</v>
      </c>
      <c r="Y129" s="89">
        <v>109</v>
      </c>
      <c r="Z129" s="89">
        <v>110</v>
      </c>
      <c r="AA129" s="146">
        <v>111</v>
      </c>
      <c r="AC129" s="110">
        <v>0</v>
      </c>
    </row>
    <row r="130" spans="2:29">
      <c r="B130" s="150"/>
      <c r="C130" s="151"/>
      <c r="D130" s="151"/>
      <c r="E130" s="151"/>
      <c r="F130" s="164" t="s">
        <v>256</v>
      </c>
      <c r="G130" s="164"/>
      <c r="H130" s="164"/>
      <c r="I130" s="165"/>
      <c r="K130" s="150"/>
      <c r="L130" s="151"/>
      <c r="M130" s="151"/>
      <c r="N130" s="151"/>
      <c r="O130" s="164">
        <v>65536</v>
      </c>
      <c r="P130" s="164"/>
      <c r="Q130" s="164"/>
      <c r="R130" s="165"/>
      <c r="S130" s="103">
        <v>28</v>
      </c>
      <c r="T130" s="150">
        <v>112</v>
      </c>
      <c r="U130" s="151">
        <v>113</v>
      </c>
      <c r="V130" s="151">
        <v>114</v>
      </c>
      <c r="W130" s="151">
        <v>115</v>
      </c>
      <c r="X130" s="89">
        <v>116</v>
      </c>
      <c r="Y130" s="89">
        <v>117</v>
      </c>
      <c r="Z130" s="89">
        <v>118</v>
      </c>
      <c r="AA130" s="146">
        <v>119</v>
      </c>
      <c r="AC130" s="110">
        <v>0</v>
      </c>
    </row>
    <row r="131" spans="2:29">
      <c r="B131" s="163" t="s">
        <v>260</v>
      </c>
      <c r="C131" s="164"/>
      <c r="D131" s="164"/>
      <c r="E131" s="164"/>
      <c r="F131" s="89"/>
      <c r="G131" s="89"/>
      <c r="H131" s="89"/>
      <c r="I131" s="146"/>
      <c r="K131" s="163">
        <v>25</v>
      </c>
      <c r="L131" s="164"/>
      <c r="M131" s="164"/>
      <c r="N131" s="164"/>
      <c r="O131" s="89"/>
      <c r="P131" s="89"/>
      <c r="Q131" s="89"/>
      <c r="R131" s="146"/>
      <c r="S131" s="103">
        <v>30</v>
      </c>
      <c r="T131" s="145">
        <v>120</v>
      </c>
      <c r="U131" s="89">
        <v>121</v>
      </c>
      <c r="V131" s="89">
        <v>122</v>
      </c>
      <c r="W131" s="89">
        <v>123</v>
      </c>
      <c r="X131" s="89">
        <v>124</v>
      </c>
      <c r="Y131" s="89">
        <v>125</v>
      </c>
      <c r="Z131" s="89">
        <v>126</v>
      </c>
      <c r="AA131" s="146">
        <v>127</v>
      </c>
      <c r="AC131" s="110">
        <v>0</v>
      </c>
    </row>
    <row r="132" spans="2:29">
      <c r="B132" s="150"/>
      <c r="C132" s="151"/>
      <c r="D132" s="151"/>
      <c r="E132" s="151"/>
      <c r="F132" s="89"/>
      <c r="G132" s="89"/>
      <c r="H132" s="89"/>
      <c r="I132" s="146"/>
      <c r="K132" s="150"/>
      <c r="L132" s="151"/>
      <c r="M132" s="151"/>
      <c r="N132" s="151"/>
      <c r="O132" s="89"/>
      <c r="P132" s="89"/>
      <c r="Q132" s="89"/>
      <c r="R132" s="146"/>
      <c r="S132" s="103">
        <v>32</v>
      </c>
      <c r="T132" s="150">
        <v>128</v>
      </c>
      <c r="U132" s="151">
        <v>129</v>
      </c>
      <c r="V132" s="151">
        <v>130</v>
      </c>
      <c r="W132" s="151">
        <v>131</v>
      </c>
      <c r="X132" s="89">
        <v>132</v>
      </c>
      <c r="Y132" s="89">
        <v>133</v>
      </c>
      <c r="Z132" s="89">
        <v>134</v>
      </c>
      <c r="AA132" s="146">
        <v>135</v>
      </c>
      <c r="AC132" s="110">
        <v>0</v>
      </c>
    </row>
    <row r="133" spans="2:29">
      <c r="B133" s="145"/>
      <c r="C133" s="89"/>
      <c r="D133" s="89"/>
      <c r="E133" s="89"/>
      <c r="F133" s="164" t="s">
        <v>256</v>
      </c>
      <c r="G133" s="164"/>
      <c r="H133" s="164"/>
      <c r="I133" s="165"/>
      <c r="K133" s="145"/>
      <c r="L133" s="89"/>
      <c r="M133" s="89"/>
      <c r="N133" s="89"/>
      <c r="O133" s="164">
        <v>64</v>
      </c>
      <c r="P133" s="164"/>
      <c r="Q133" s="164"/>
      <c r="R133" s="165"/>
      <c r="S133" s="103">
        <v>34</v>
      </c>
      <c r="T133" s="145">
        <v>136</v>
      </c>
      <c r="U133" s="89">
        <v>137</v>
      </c>
      <c r="V133" s="89">
        <v>138</v>
      </c>
      <c r="W133" s="89">
        <v>139</v>
      </c>
      <c r="X133" s="89">
        <v>140</v>
      </c>
      <c r="Y133" s="89">
        <v>141</v>
      </c>
      <c r="Z133" s="89">
        <v>142</v>
      </c>
      <c r="AA133" s="146">
        <v>143</v>
      </c>
      <c r="AC133" s="110">
        <v>0</v>
      </c>
    </row>
    <row r="134" spans="2:29">
      <c r="B134" s="150"/>
      <c r="C134" s="151"/>
      <c r="D134" s="151"/>
      <c r="E134" s="151"/>
      <c r="F134" s="89"/>
      <c r="G134" s="89"/>
      <c r="H134" s="89"/>
      <c r="I134" s="146"/>
      <c r="K134" s="150"/>
      <c r="L134" s="151"/>
      <c r="M134" s="151"/>
      <c r="N134" s="151"/>
      <c r="O134" s="89"/>
      <c r="P134" s="89"/>
      <c r="Q134" s="89"/>
      <c r="R134" s="146"/>
      <c r="S134" s="103">
        <v>36</v>
      </c>
      <c r="T134" s="150">
        <v>144</v>
      </c>
      <c r="U134" s="151">
        <v>145</v>
      </c>
      <c r="V134" s="151">
        <v>146</v>
      </c>
      <c r="W134" s="151">
        <v>147</v>
      </c>
      <c r="X134" s="89">
        <v>148</v>
      </c>
      <c r="Y134" s="89">
        <v>149</v>
      </c>
      <c r="Z134" s="89">
        <v>150</v>
      </c>
      <c r="AA134" s="146">
        <v>151</v>
      </c>
      <c r="AC134" s="110">
        <v>0</v>
      </c>
    </row>
    <row r="135" spans="2:29">
      <c r="B135" s="145"/>
      <c r="C135" s="89"/>
      <c r="D135" s="89"/>
      <c r="E135" s="89"/>
      <c r="F135" s="89"/>
      <c r="G135" s="89"/>
      <c r="H135" s="89"/>
      <c r="I135" s="146"/>
      <c r="K135" s="145"/>
      <c r="L135" s="89"/>
      <c r="M135" s="89"/>
      <c r="N135" s="89"/>
      <c r="O135" s="89"/>
      <c r="P135" s="89"/>
      <c r="Q135" s="89"/>
      <c r="R135" s="146"/>
      <c r="S135" s="103">
        <v>38</v>
      </c>
      <c r="T135" s="145">
        <v>152</v>
      </c>
      <c r="U135" s="89">
        <v>153</v>
      </c>
      <c r="V135" s="89">
        <v>154</v>
      </c>
      <c r="W135" s="89">
        <v>155</v>
      </c>
      <c r="X135" s="89">
        <v>156</v>
      </c>
      <c r="Y135" s="89">
        <v>157</v>
      </c>
      <c r="Z135" s="89">
        <v>158</v>
      </c>
      <c r="AA135" s="146">
        <v>159</v>
      </c>
      <c r="AC135" s="110">
        <v>0</v>
      </c>
    </row>
    <row r="136" spans="2:29">
      <c r="B136" s="150"/>
      <c r="C136" s="151"/>
      <c r="D136" s="151"/>
      <c r="E136" s="151"/>
      <c r="F136" s="164" t="s">
        <v>259</v>
      </c>
      <c r="G136" s="164"/>
      <c r="H136" s="164"/>
      <c r="I136" s="165"/>
      <c r="K136" s="150"/>
      <c r="L136" s="151"/>
      <c r="M136" s="151"/>
      <c r="N136" s="151"/>
      <c r="O136" s="169" t="s">
        <v>258</v>
      </c>
      <c r="P136" s="164"/>
      <c r="Q136" s="164"/>
      <c r="R136" s="165"/>
      <c r="S136" s="103">
        <v>40</v>
      </c>
      <c r="T136" s="150">
        <v>160</v>
      </c>
      <c r="U136" s="151">
        <v>161</v>
      </c>
      <c r="V136" s="151">
        <v>162</v>
      </c>
      <c r="W136" s="151">
        <v>163</v>
      </c>
      <c r="X136" s="89">
        <v>164</v>
      </c>
      <c r="Y136" s="89">
        <v>165</v>
      </c>
      <c r="Z136" s="89">
        <v>166</v>
      </c>
      <c r="AA136" s="146">
        <v>167</v>
      </c>
      <c r="AC136" s="110">
        <v>0</v>
      </c>
    </row>
    <row r="137" spans="2:29">
      <c r="B137" s="163" t="s">
        <v>262</v>
      </c>
      <c r="C137" s="164"/>
      <c r="D137" s="164"/>
      <c r="E137" s="164"/>
      <c r="F137" s="164" t="s">
        <v>263</v>
      </c>
      <c r="G137" s="164"/>
      <c r="H137" s="164"/>
      <c r="I137" s="165"/>
      <c r="K137" s="170" t="s">
        <v>261</v>
      </c>
      <c r="L137" s="164"/>
      <c r="M137" s="164"/>
      <c r="N137" s="164"/>
      <c r="O137" s="169" t="s">
        <v>264</v>
      </c>
      <c r="P137" s="169"/>
      <c r="Q137" s="169"/>
      <c r="R137" s="171"/>
      <c r="S137" s="103">
        <v>42</v>
      </c>
      <c r="T137" s="145">
        <v>168</v>
      </c>
      <c r="U137" s="89">
        <v>169</v>
      </c>
      <c r="V137" s="89">
        <v>170</v>
      </c>
      <c r="W137" s="89">
        <v>171</v>
      </c>
      <c r="X137" s="89">
        <v>172</v>
      </c>
      <c r="Y137" s="89">
        <v>173</v>
      </c>
      <c r="Z137" s="89">
        <v>174</v>
      </c>
      <c r="AA137" s="146">
        <v>175</v>
      </c>
      <c r="AC137" s="110">
        <v>0</v>
      </c>
    </row>
    <row r="138" spans="2:29">
      <c r="B138" s="163" t="s">
        <v>192</v>
      </c>
      <c r="C138" s="164"/>
      <c r="D138" s="164"/>
      <c r="E138" s="164"/>
      <c r="F138" s="164" t="s">
        <v>192</v>
      </c>
      <c r="G138" s="164"/>
      <c r="H138" s="164"/>
      <c r="I138" s="165"/>
      <c r="K138" s="163"/>
      <c r="L138" s="164"/>
      <c r="M138" s="164"/>
      <c r="N138" s="164"/>
      <c r="O138" s="164">
        <v>25</v>
      </c>
      <c r="P138" s="164"/>
      <c r="Q138" s="164"/>
      <c r="R138" s="165"/>
      <c r="S138" s="103">
        <v>44</v>
      </c>
      <c r="T138" s="150">
        <v>176</v>
      </c>
      <c r="U138" s="151">
        <v>177</v>
      </c>
      <c r="V138" s="151">
        <v>178</v>
      </c>
      <c r="W138" s="151">
        <v>179</v>
      </c>
      <c r="X138" s="89">
        <v>180</v>
      </c>
      <c r="Y138" s="89">
        <v>181</v>
      </c>
      <c r="Z138" s="89">
        <v>182</v>
      </c>
      <c r="AA138" s="146">
        <v>183</v>
      </c>
      <c r="AC138" s="110">
        <v>0</v>
      </c>
    </row>
    <row r="139" spans="2:29">
      <c r="B139" s="163">
        <v>999</v>
      </c>
      <c r="C139" s="164"/>
      <c r="D139" s="164"/>
      <c r="E139" s="164"/>
      <c r="F139" s="164">
        <v>999</v>
      </c>
      <c r="G139" s="164"/>
      <c r="H139" s="164"/>
      <c r="I139" s="165"/>
      <c r="K139" s="163">
        <v>999</v>
      </c>
      <c r="L139" s="164"/>
      <c r="M139" s="164"/>
      <c r="N139" s="164"/>
      <c r="O139" s="164">
        <v>999</v>
      </c>
      <c r="P139" s="164"/>
      <c r="Q139" s="164"/>
      <c r="R139" s="165"/>
      <c r="S139" s="103">
        <v>46</v>
      </c>
      <c r="T139" s="145">
        <v>184</v>
      </c>
      <c r="U139" s="89">
        <v>185</v>
      </c>
      <c r="V139" s="89">
        <v>186</v>
      </c>
      <c r="W139" s="89">
        <v>187</v>
      </c>
      <c r="X139" s="89">
        <v>188</v>
      </c>
      <c r="Y139" s="89">
        <v>189</v>
      </c>
      <c r="Z139" s="89">
        <v>190</v>
      </c>
      <c r="AA139" s="146">
        <v>191</v>
      </c>
      <c r="AC139" s="110">
        <v>0</v>
      </c>
    </row>
    <row r="140" spans="2:29" ht="17.25" thickBot="1">
      <c r="B140" s="166">
        <v>999</v>
      </c>
      <c r="C140" s="167"/>
      <c r="D140" s="167"/>
      <c r="E140" s="167"/>
      <c r="F140" s="167">
        <v>999</v>
      </c>
      <c r="G140" s="167"/>
      <c r="H140" s="167"/>
      <c r="I140" s="168"/>
      <c r="K140" s="166">
        <v>999</v>
      </c>
      <c r="L140" s="167"/>
      <c r="M140" s="167"/>
      <c r="N140" s="167"/>
      <c r="O140" s="167">
        <v>999</v>
      </c>
      <c r="P140" s="167"/>
      <c r="Q140" s="167"/>
      <c r="R140" s="168"/>
      <c r="S140" s="103">
        <v>48</v>
      </c>
      <c r="T140" s="152">
        <v>192</v>
      </c>
      <c r="U140" s="153">
        <v>193</v>
      </c>
      <c r="V140" s="153">
        <v>194</v>
      </c>
      <c r="W140" s="153">
        <v>195</v>
      </c>
      <c r="X140" s="132">
        <v>196</v>
      </c>
      <c r="Y140" s="132">
        <v>197</v>
      </c>
      <c r="Z140" s="132">
        <v>198</v>
      </c>
      <c r="AA140" s="147">
        <v>199</v>
      </c>
      <c r="AC140" s="110">
        <v>0</v>
      </c>
    </row>
    <row r="141" spans="2:29" ht="17.25" thickTop="1"/>
    <row r="146" spans="5:5">
      <c r="E146" s="103" t="s">
        <v>316</v>
      </c>
    </row>
    <row r="147" spans="5:5">
      <c r="E147" s="103">
        <f>LEN(E146)</f>
        <v>65</v>
      </c>
    </row>
  </sheetData>
  <mergeCells count="76">
    <mergeCell ref="B43:I45"/>
    <mergeCell ref="K43:R45"/>
    <mergeCell ref="B2:E2"/>
    <mergeCell ref="F2:I2"/>
    <mergeCell ref="K2:N2"/>
    <mergeCell ref="B3:I5"/>
    <mergeCell ref="K3:R5"/>
    <mergeCell ref="B51:I53"/>
    <mergeCell ref="K51:R53"/>
    <mergeCell ref="B59:I59"/>
    <mergeCell ref="K59:R59"/>
    <mergeCell ref="B60:C60"/>
    <mergeCell ref="K60:L60"/>
    <mergeCell ref="F117:I117"/>
    <mergeCell ref="O117:R117"/>
    <mergeCell ref="B87:I87"/>
    <mergeCell ref="K87:R87"/>
    <mergeCell ref="B88:D88"/>
    <mergeCell ref="K88:M88"/>
    <mergeCell ref="B102:I103"/>
    <mergeCell ref="K102:R103"/>
    <mergeCell ref="B104:E104"/>
    <mergeCell ref="B116:E116"/>
    <mergeCell ref="F116:I116"/>
    <mergeCell ref="K116:N116"/>
    <mergeCell ref="O116:R116"/>
    <mergeCell ref="B118:E118"/>
    <mergeCell ref="F118:I118"/>
    <mergeCell ref="K118:N118"/>
    <mergeCell ref="O118:R118"/>
    <mergeCell ref="B119:E119"/>
    <mergeCell ref="K119:N119"/>
    <mergeCell ref="B120:E120"/>
    <mergeCell ref="F120:I120"/>
    <mergeCell ref="K120:N120"/>
    <mergeCell ref="B121:E121"/>
    <mergeCell ref="F121:I121"/>
    <mergeCell ref="B129:E129"/>
    <mergeCell ref="F129:I129"/>
    <mergeCell ref="O122:R122"/>
    <mergeCell ref="B123:E123"/>
    <mergeCell ref="F123:I123"/>
    <mergeCell ref="K123:N123"/>
    <mergeCell ref="B124:E124"/>
    <mergeCell ref="K124:N124"/>
    <mergeCell ref="B122:E122"/>
    <mergeCell ref="F122:I122"/>
    <mergeCell ref="B125:E125"/>
    <mergeCell ref="F125:I125"/>
    <mergeCell ref="F127:I127"/>
    <mergeCell ref="B128:E128"/>
    <mergeCell ref="F128:I128"/>
    <mergeCell ref="F130:I130"/>
    <mergeCell ref="O130:R130"/>
    <mergeCell ref="B131:E131"/>
    <mergeCell ref="K131:N131"/>
    <mergeCell ref="F133:I133"/>
    <mergeCell ref="O133:R133"/>
    <mergeCell ref="F136:I136"/>
    <mergeCell ref="O136:R136"/>
    <mergeCell ref="B137:E137"/>
    <mergeCell ref="F137:I137"/>
    <mergeCell ref="K137:N137"/>
    <mergeCell ref="O137:R137"/>
    <mergeCell ref="B140:E140"/>
    <mergeCell ref="F140:I140"/>
    <mergeCell ref="K140:N140"/>
    <mergeCell ref="O140:R140"/>
    <mergeCell ref="B138:E138"/>
    <mergeCell ref="F138:I138"/>
    <mergeCell ref="K138:N138"/>
    <mergeCell ref="O138:R138"/>
    <mergeCell ref="B139:E139"/>
    <mergeCell ref="F139:I139"/>
    <mergeCell ref="K139:N139"/>
    <mergeCell ref="O139:R13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8254-3C8D-43DE-A075-A47C72C1D973}">
  <dimension ref="B1:R78"/>
  <sheetViews>
    <sheetView topLeftCell="A40" zoomScale="70" zoomScaleNormal="70" workbookViewId="0">
      <selection activeCell="F57" sqref="F57:I57"/>
    </sheetView>
  </sheetViews>
  <sheetFormatPr defaultRowHeight="16.5"/>
  <cols>
    <col min="1" max="1" width="5.375" customWidth="1"/>
  </cols>
  <sheetData>
    <row r="1" spans="2:18" s="103" customFormat="1" ht="17.25" thickBot="1"/>
    <row r="2" spans="2:18" s="103" customFormat="1" ht="17.25" thickTop="1">
      <c r="B2" s="148"/>
      <c r="C2" s="149"/>
      <c r="D2" s="149"/>
      <c r="E2" s="149"/>
      <c r="F2" s="128"/>
      <c r="G2" s="128"/>
      <c r="H2" s="128"/>
      <c r="I2" s="144"/>
      <c r="K2" s="148">
        <v>0</v>
      </c>
      <c r="L2" s="149">
        <v>1</v>
      </c>
      <c r="M2" s="149">
        <v>2</v>
      </c>
      <c r="N2" s="149">
        <v>3</v>
      </c>
      <c r="O2" s="128">
        <v>4</v>
      </c>
      <c r="P2" s="128">
        <v>5</v>
      </c>
      <c r="Q2" s="128">
        <v>6</v>
      </c>
      <c r="R2" s="144">
        <v>7</v>
      </c>
    </row>
    <row r="3" spans="2:18" s="103" customFormat="1">
      <c r="B3" s="145"/>
      <c r="C3" s="89"/>
      <c r="D3" s="89"/>
      <c r="E3" s="89"/>
      <c r="F3" s="89"/>
      <c r="G3" s="89"/>
      <c r="H3" s="89"/>
      <c r="I3" s="146"/>
      <c r="K3" s="145">
        <v>8</v>
      </c>
      <c r="L3" s="89">
        <v>9</v>
      </c>
      <c r="M3" s="89">
        <v>10</v>
      </c>
      <c r="N3" s="89">
        <v>11</v>
      </c>
      <c r="O3" s="89">
        <v>12</v>
      </c>
      <c r="P3" s="89">
        <v>13</v>
      </c>
      <c r="Q3" s="89">
        <v>14</v>
      </c>
      <c r="R3" s="146">
        <v>15</v>
      </c>
    </row>
    <row r="4" spans="2:18" s="103" customFormat="1">
      <c r="B4" s="150"/>
      <c r="C4" s="151"/>
      <c r="D4" s="151"/>
      <c r="E4" s="151"/>
      <c r="F4" s="89"/>
      <c r="G4" s="89"/>
      <c r="H4" s="89"/>
      <c r="I4" s="146"/>
      <c r="K4" s="150">
        <v>16</v>
      </c>
      <c r="L4" s="151">
        <v>17</v>
      </c>
      <c r="M4" s="151">
        <v>18</v>
      </c>
      <c r="N4" s="151">
        <v>19</v>
      </c>
      <c r="O4" s="89">
        <v>20</v>
      </c>
      <c r="P4" s="89">
        <v>21</v>
      </c>
      <c r="Q4" s="89">
        <v>22</v>
      </c>
      <c r="R4" s="146">
        <v>23</v>
      </c>
    </row>
    <row r="5" spans="2:18" s="103" customFormat="1">
      <c r="B5" s="145"/>
      <c r="C5" s="89"/>
      <c r="D5" s="89"/>
      <c r="E5" s="89"/>
      <c r="F5" s="89"/>
      <c r="G5" s="89"/>
      <c r="H5" s="89"/>
      <c r="I5" s="146"/>
      <c r="K5" s="145">
        <v>24</v>
      </c>
      <c r="L5" s="89">
        <v>25</v>
      </c>
      <c r="M5" s="89">
        <v>26</v>
      </c>
      <c r="N5" s="89">
        <v>27</v>
      </c>
      <c r="O5" s="89">
        <v>28</v>
      </c>
      <c r="P5" s="89">
        <v>29</v>
      </c>
      <c r="Q5" s="89">
        <v>30</v>
      </c>
      <c r="R5" s="146">
        <v>31</v>
      </c>
    </row>
    <row r="6" spans="2:18" s="103" customFormat="1">
      <c r="B6" s="150"/>
      <c r="C6" s="151"/>
      <c r="D6" s="151"/>
      <c r="E6" s="151"/>
      <c r="F6" s="89"/>
      <c r="G6" s="89"/>
      <c r="H6" s="89"/>
      <c r="I6" s="146"/>
      <c r="K6" s="150">
        <v>32</v>
      </c>
      <c r="L6" s="151">
        <v>33</v>
      </c>
      <c r="M6" s="151">
        <v>34</v>
      </c>
      <c r="N6" s="151">
        <v>35</v>
      </c>
      <c r="O6" s="89">
        <v>36</v>
      </c>
      <c r="P6" s="89">
        <v>37</v>
      </c>
      <c r="Q6" s="89">
        <v>38</v>
      </c>
      <c r="R6" s="146">
        <v>39</v>
      </c>
    </row>
    <row r="7" spans="2:18" s="103" customFormat="1">
      <c r="B7" s="145"/>
      <c r="C7" s="89"/>
      <c r="D7" s="89"/>
      <c r="E7" s="89"/>
      <c r="F7" s="89"/>
      <c r="G7" s="89"/>
      <c r="H7" s="89"/>
      <c r="I7" s="146"/>
      <c r="K7" s="145">
        <v>40</v>
      </c>
      <c r="L7" s="89">
        <v>41</v>
      </c>
      <c r="M7" s="89">
        <v>42</v>
      </c>
      <c r="N7" s="89">
        <v>43</v>
      </c>
      <c r="O7" s="89">
        <v>44</v>
      </c>
      <c r="P7" s="89">
        <v>45</v>
      </c>
      <c r="Q7" s="89">
        <v>46</v>
      </c>
      <c r="R7" s="146">
        <v>47</v>
      </c>
    </row>
    <row r="8" spans="2:18" s="103" customFormat="1">
      <c r="B8" s="150"/>
      <c r="C8" s="151"/>
      <c r="D8" s="151"/>
      <c r="E8" s="151"/>
      <c r="F8" s="89"/>
      <c r="G8" s="89"/>
      <c r="H8" s="89"/>
      <c r="I8" s="146"/>
      <c r="K8" s="150">
        <v>48</v>
      </c>
      <c r="L8" s="151">
        <v>49</v>
      </c>
      <c r="M8" s="151">
        <v>50</v>
      </c>
      <c r="N8" s="151">
        <v>51</v>
      </c>
      <c r="O8" s="89">
        <v>52</v>
      </c>
      <c r="P8" s="89">
        <v>53</v>
      </c>
      <c r="Q8" s="89">
        <v>54</v>
      </c>
      <c r="R8" s="146">
        <v>55</v>
      </c>
    </row>
    <row r="9" spans="2:18" s="103" customFormat="1">
      <c r="B9" s="145"/>
      <c r="C9" s="89"/>
      <c r="D9" s="89"/>
      <c r="E9" s="89"/>
      <c r="F9" s="89"/>
      <c r="G9" s="89"/>
      <c r="H9" s="89"/>
      <c r="I9" s="146"/>
      <c r="K9" s="145">
        <v>56</v>
      </c>
      <c r="L9" s="89">
        <v>57</v>
      </c>
      <c r="M9" s="89">
        <v>58</v>
      </c>
      <c r="N9" s="89">
        <v>59</v>
      </c>
      <c r="O9" s="89">
        <v>60</v>
      </c>
      <c r="P9" s="89">
        <v>61</v>
      </c>
      <c r="Q9" s="89">
        <v>62</v>
      </c>
      <c r="R9" s="146">
        <v>63</v>
      </c>
    </row>
    <row r="10" spans="2:18" s="103" customFormat="1">
      <c r="B10" s="150"/>
      <c r="C10" s="151"/>
      <c r="D10" s="151"/>
      <c r="E10" s="151"/>
      <c r="F10" s="89"/>
      <c r="G10" s="89"/>
      <c r="H10" s="89"/>
      <c r="I10" s="146"/>
      <c r="K10" s="150">
        <v>64</v>
      </c>
      <c r="L10" s="151">
        <v>65</v>
      </c>
      <c r="M10" s="151">
        <v>66</v>
      </c>
      <c r="N10" s="151">
        <v>67</v>
      </c>
      <c r="O10" s="89">
        <v>68</v>
      </c>
      <c r="P10" s="89">
        <v>69</v>
      </c>
      <c r="Q10" s="89">
        <v>70</v>
      </c>
      <c r="R10" s="146">
        <v>71</v>
      </c>
    </row>
    <row r="11" spans="2:18" s="103" customFormat="1">
      <c r="B11" s="145"/>
      <c r="C11" s="89"/>
      <c r="D11" s="89"/>
      <c r="E11" s="89"/>
      <c r="F11" s="89"/>
      <c r="G11" s="89"/>
      <c r="H11" s="89"/>
      <c r="I11" s="146"/>
      <c r="K11" s="145">
        <v>72</v>
      </c>
      <c r="L11" s="89">
        <v>73</v>
      </c>
      <c r="M11" s="89">
        <v>74</v>
      </c>
      <c r="N11" s="89">
        <v>75</v>
      </c>
      <c r="O11" s="89">
        <v>76</v>
      </c>
      <c r="P11" s="89">
        <v>77</v>
      </c>
      <c r="Q11" s="89">
        <v>78</v>
      </c>
      <c r="R11" s="146">
        <v>79</v>
      </c>
    </row>
    <row r="12" spans="2:18" s="103" customFormat="1">
      <c r="B12" s="150"/>
      <c r="C12" s="151"/>
      <c r="D12" s="151"/>
      <c r="E12" s="151"/>
      <c r="F12" s="89"/>
      <c r="G12" s="89"/>
      <c r="H12" s="89"/>
      <c r="I12" s="146"/>
      <c r="K12" s="150">
        <v>80</v>
      </c>
      <c r="L12" s="151">
        <v>81</v>
      </c>
      <c r="M12" s="151">
        <v>82</v>
      </c>
      <c r="N12" s="151">
        <v>83</v>
      </c>
      <c r="O12" s="89">
        <v>84</v>
      </c>
      <c r="P12" s="89">
        <v>85</v>
      </c>
      <c r="Q12" s="89">
        <v>86</v>
      </c>
      <c r="R12" s="146">
        <v>87</v>
      </c>
    </row>
    <row r="13" spans="2:18" s="103" customFormat="1">
      <c r="B13" s="145"/>
      <c r="C13" s="89"/>
      <c r="D13" s="89"/>
      <c r="E13" s="89"/>
      <c r="F13" s="89"/>
      <c r="G13" s="89"/>
      <c r="H13" s="89"/>
      <c r="I13" s="146"/>
      <c r="K13" s="145">
        <v>88</v>
      </c>
      <c r="L13" s="89">
        <v>89</v>
      </c>
      <c r="M13" s="89">
        <v>90</v>
      </c>
      <c r="N13" s="89">
        <v>91</v>
      </c>
      <c r="O13" s="89">
        <v>92</v>
      </c>
      <c r="P13" s="89">
        <v>93</v>
      </c>
      <c r="Q13" s="89">
        <v>94</v>
      </c>
      <c r="R13" s="146">
        <v>95</v>
      </c>
    </row>
    <row r="14" spans="2:18" s="103" customFormat="1">
      <c r="B14" s="150"/>
      <c r="C14" s="151"/>
      <c r="D14" s="151"/>
      <c r="E14" s="151"/>
      <c r="F14" s="89"/>
      <c r="G14" s="89"/>
      <c r="H14" s="89"/>
      <c r="I14" s="146"/>
      <c r="K14" s="150">
        <v>96</v>
      </c>
      <c r="L14" s="151">
        <v>97</v>
      </c>
      <c r="M14" s="151">
        <v>98</v>
      </c>
      <c r="N14" s="151">
        <v>99</v>
      </c>
      <c r="O14" s="89">
        <v>100</v>
      </c>
      <c r="P14" s="89">
        <v>101</v>
      </c>
      <c r="Q14" s="89">
        <v>102</v>
      </c>
      <c r="R14" s="146">
        <v>103</v>
      </c>
    </row>
    <row r="15" spans="2:18" s="103" customFormat="1">
      <c r="B15" s="145"/>
      <c r="C15" s="89"/>
      <c r="D15" s="89"/>
      <c r="E15" s="89"/>
      <c r="F15" s="89"/>
      <c r="G15" s="89"/>
      <c r="H15" s="89"/>
      <c r="I15" s="146"/>
      <c r="K15" s="145">
        <v>104</v>
      </c>
      <c r="L15" s="89">
        <v>105</v>
      </c>
      <c r="M15" s="89">
        <v>106</v>
      </c>
      <c r="N15" s="89">
        <v>107</v>
      </c>
      <c r="O15" s="89">
        <v>108</v>
      </c>
      <c r="P15" s="89">
        <v>109</v>
      </c>
      <c r="Q15" s="89">
        <v>110</v>
      </c>
      <c r="R15" s="146">
        <v>111</v>
      </c>
    </row>
    <row r="16" spans="2:18" s="103" customFormat="1">
      <c r="B16" s="150"/>
      <c r="C16" s="151"/>
      <c r="D16" s="151"/>
      <c r="E16" s="151"/>
      <c r="F16" s="89"/>
      <c r="G16" s="89"/>
      <c r="H16" s="89"/>
      <c r="I16" s="146"/>
      <c r="K16" s="150">
        <v>112</v>
      </c>
      <c r="L16" s="151">
        <v>113</v>
      </c>
      <c r="M16" s="151">
        <v>114</v>
      </c>
      <c r="N16" s="151">
        <v>115</v>
      </c>
      <c r="O16" s="89">
        <v>116</v>
      </c>
      <c r="P16" s="89">
        <v>117</v>
      </c>
      <c r="Q16" s="89">
        <v>118</v>
      </c>
      <c r="R16" s="146">
        <v>119</v>
      </c>
    </row>
    <row r="17" spans="2:18" s="103" customFormat="1">
      <c r="B17" s="145"/>
      <c r="C17" s="89"/>
      <c r="D17" s="89"/>
      <c r="E17" s="89"/>
      <c r="F17" s="89"/>
      <c r="G17" s="89"/>
      <c r="H17" s="89"/>
      <c r="I17" s="146"/>
      <c r="K17" s="145">
        <v>120</v>
      </c>
      <c r="L17" s="89">
        <v>121</v>
      </c>
      <c r="M17" s="89">
        <v>122</v>
      </c>
      <c r="N17" s="89">
        <v>123</v>
      </c>
      <c r="O17" s="89">
        <v>124</v>
      </c>
      <c r="P17" s="89">
        <v>125</v>
      </c>
      <c r="Q17" s="89">
        <v>126</v>
      </c>
      <c r="R17" s="146">
        <v>127</v>
      </c>
    </row>
    <row r="18" spans="2:18" s="103" customFormat="1">
      <c r="B18" s="150"/>
      <c r="C18" s="151"/>
      <c r="D18" s="151"/>
      <c r="E18" s="151"/>
      <c r="F18" s="89"/>
      <c r="G18" s="89"/>
      <c r="H18" s="89"/>
      <c r="I18" s="146"/>
      <c r="K18" s="150">
        <v>128</v>
      </c>
      <c r="L18" s="151">
        <v>129</v>
      </c>
      <c r="M18" s="151">
        <v>130</v>
      </c>
      <c r="N18" s="151">
        <v>131</v>
      </c>
      <c r="O18" s="89">
        <v>132</v>
      </c>
      <c r="P18" s="89">
        <v>133</v>
      </c>
      <c r="Q18" s="89">
        <v>134</v>
      </c>
      <c r="R18" s="146">
        <v>135</v>
      </c>
    </row>
    <row r="19" spans="2:18" s="103" customFormat="1">
      <c r="B19" s="145"/>
      <c r="C19" s="89"/>
      <c r="D19" s="89"/>
      <c r="E19" s="89"/>
      <c r="F19" s="89"/>
      <c r="G19" s="89"/>
      <c r="H19" s="89"/>
      <c r="I19" s="146"/>
      <c r="K19" s="145">
        <v>136</v>
      </c>
      <c r="L19" s="89">
        <v>137</v>
      </c>
      <c r="M19" s="89">
        <v>138</v>
      </c>
      <c r="N19" s="89">
        <v>139</v>
      </c>
      <c r="O19" s="89">
        <v>140</v>
      </c>
      <c r="P19" s="89">
        <v>141</v>
      </c>
      <c r="Q19" s="89">
        <v>142</v>
      </c>
      <c r="R19" s="146">
        <v>143</v>
      </c>
    </row>
    <row r="20" spans="2:18" s="103" customFormat="1">
      <c r="B20" s="150"/>
      <c r="C20" s="151"/>
      <c r="D20" s="151"/>
      <c r="E20" s="151"/>
      <c r="F20" s="89"/>
      <c r="G20" s="89"/>
      <c r="H20" s="89"/>
      <c r="I20" s="146"/>
      <c r="K20" s="150">
        <v>144</v>
      </c>
      <c r="L20" s="151">
        <v>145</v>
      </c>
      <c r="M20" s="151">
        <v>146</v>
      </c>
      <c r="N20" s="151">
        <v>147</v>
      </c>
      <c r="O20" s="89">
        <v>148</v>
      </c>
      <c r="P20" s="89">
        <v>149</v>
      </c>
      <c r="Q20" s="89">
        <v>150</v>
      </c>
      <c r="R20" s="146">
        <v>151</v>
      </c>
    </row>
    <row r="21" spans="2:18" s="103" customFormat="1">
      <c r="B21" s="145"/>
      <c r="C21" s="89"/>
      <c r="D21" s="89"/>
      <c r="E21" s="89"/>
      <c r="F21" s="89"/>
      <c r="G21" s="89"/>
      <c r="H21" s="89"/>
      <c r="I21" s="146"/>
      <c r="K21" s="145">
        <v>152</v>
      </c>
      <c r="L21" s="89">
        <v>153</v>
      </c>
      <c r="M21" s="89">
        <v>154</v>
      </c>
      <c r="N21" s="89">
        <v>155</v>
      </c>
      <c r="O21" s="89">
        <v>156</v>
      </c>
      <c r="P21" s="89">
        <v>157</v>
      </c>
      <c r="Q21" s="89">
        <v>158</v>
      </c>
      <c r="R21" s="146">
        <v>159</v>
      </c>
    </row>
    <row r="22" spans="2:18" s="103" customFormat="1">
      <c r="B22" s="150"/>
      <c r="C22" s="151"/>
      <c r="D22" s="151"/>
      <c r="E22" s="151"/>
      <c r="F22" s="89"/>
      <c r="G22" s="89"/>
      <c r="H22" s="89"/>
      <c r="I22" s="146"/>
      <c r="K22" s="150">
        <v>160</v>
      </c>
      <c r="L22" s="151">
        <v>161</v>
      </c>
      <c r="M22" s="151">
        <v>162</v>
      </c>
      <c r="N22" s="151">
        <v>163</v>
      </c>
      <c r="O22" s="89">
        <v>164</v>
      </c>
      <c r="P22" s="89">
        <v>165</v>
      </c>
      <c r="Q22" s="89">
        <v>166</v>
      </c>
      <c r="R22" s="146">
        <v>167</v>
      </c>
    </row>
    <row r="23" spans="2:18" s="103" customFormat="1">
      <c r="B23" s="145"/>
      <c r="C23" s="89"/>
      <c r="D23" s="89"/>
      <c r="E23" s="89"/>
      <c r="F23" s="89"/>
      <c r="G23" s="89"/>
      <c r="H23" s="89"/>
      <c r="I23" s="146"/>
      <c r="K23" s="145">
        <v>168</v>
      </c>
      <c r="L23" s="89">
        <v>169</v>
      </c>
      <c r="M23" s="89">
        <v>170</v>
      </c>
      <c r="N23" s="89">
        <v>171</v>
      </c>
      <c r="O23" s="89">
        <v>172</v>
      </c>
      <c r="P23" s="89">
        <v>173</v>
      </c>
      <c r="Q23" s="89">
        <v>174</v>
      </c>
      <c r="R23" s="146">
        <v>175</v>
      </c>
    </row>
    <row r="24" spans="2:18" s="103" customFormat="1">
      <c r="B24" s="150"/>
      <c r="C24" s="151"/>
      <c r="D24" s="151"/>
      <c r="E24" s="151"/>
      <c r="F24" s="89"/>
      <c r="G24" s="89"/>
      <c r="H24" s="89"/>
      <c r="I24" s="146"/>
      <c r="K24" s="150">
        <v>176</v>
      </c>
      <c r="L24" s="151">
        <v>177</v>
      </c>
      <c r="M24" s="151">
        <v>178</v>
      </c>
      <c r="N24" s="151">
        <v>179</v>
      </c>
      <c r="O24" s="89">
        <v>180</v>
      </c>
      <c r="P24" s="89">
        <v>181</v>
      </c>
      <c r="Q24" s="89">
        <v>182</v>
      </c>
      <c r="R24" s="146">
        <v>183</v>
      </c>
    </row>
    <row r="25" spans="2:18" s="103" customFormat="1">
      <c r="B25" s="145"/>
      <c r="C25" s="89"/>
      <c r="D25" s="89"/>
      <c r="E25" s="89"/>
      <c r="F25" s="89"/>
      <c r="G25" s="89"/>
      <c r="H25" s="89"/>
      <c r="I25" s="146"/>
      <c r="K25" s="145">
        <v>184</v>
      </c>
      <c r="L25" s="89">
        <v>185</v>
      </c>
      <c r="M25" s="89">
        <v>186</v>
      </c>
      <c r="N25" s="89">
        <v>187</v>
      </c>
      <c r="O25" s="89">
        <v>188</v>
      </c>
      <c r="P25" s="89">
        <v>189</v>
      </c>
      <c r="Q25" s="89">
        <v>190</v>
      </c>
      <c r="R25" s="146">
        <v>191</v>
      </c>
    </row>
    <row r="26" spans="2:18" s="103" customFormat="1">
      <c r="B26" s="150"/>
      <c r="C26" s="151"/>
      <c r="D26" s="151"/>
      <c r="E26" s="151"/>
      <c r="F26" s="89"/>
      <c r="G26" s="89"/>
      <c r="H26" s="89"/>
      <c r="I26" s="146"/>
      <c r="K26" s="150">
        <v>192</v>
      </c>
      <c r="L26" s="151">
        <v>193</v>
      </c>
      <c r="M26" s="151">
        <v>194</v>
      </c>
      <c r="N26" s="151">
        <v>195</v>
      </c>
      <c r="O26" s="89">
        <v>196</v>
      </c>
      <c r="P26" s="89">
        <v>197</v>
      </c>
      <c r="Q26" s="89">
        <v>198</v>
      </c>
      <c r="R26" s="146">
        <v>199</v>
      </c>
    </row>
    <row r="27" spans="2:18" s="103" customFormat="1">
      <c r="B27" s="150"/>
      <c r="C27" s="151"/>
      <c r="D27" s="151"/>
      <c r="E27" s="151"/>
      <c r="F27" s="89"/>
      <c r="G27" s="89"/>
      <c r="H27" s="89"/>
      <c r="I27" s="146"/>
      <c r="K27" s="150">
        <v>200</v>
      </c>
      <c r="L27" s="151">
        <v>201</v>
      </c>
      <c r="M27" s="151">
        <v>202</v>
      </c>
      <c r="N27" s="151">
        <v>203</v>
      </c>
      <c r="O27" s="89">
        <v>204</v>
      </c>
      <c r="P27" s="89">
        <v>205</v>
      </c>
      <c r="Q27" s="89">
        <v>206</v>
      </c>
      <c r="R27" s="146">
        <v>207</v>
      </c>
    </row>
    <row r="28" spans="2:18" s="103" customFormat="1">
      <c r="B28" s="145"/>
      <c r="C28" s="89"/>
      <c r="D28" s="89"/>
      <c r="E28" s="89"/>
      <c r="F28" s="89"/>
      <c r="G28" s="89"/>
      <c r="H28" s="89"/>
      <c r="I28" s="146"/>
      <c r="K28" s="145">
        <v>208</v>
      </c>
      <c r="L28" s="89">
        <v>209</v>
      </c>
      <c r="M28" s="89">
        <v>210</v>
      </c>
      <c r="N28" s="89">
        <v>211</v>
      </c>
      <c r="O28" s="89">
        <v>212</v>
      </c>
      <c r="P28" s="89">
        <v>213</v>
      </c>
      <c r="Q28" s="89">
        <v>214</v>
      </c>
      <c r="R28" s="146">
        <v>215</v>
      </c>
    </row>
    <row r="29" spans="2:18" s="103" customFormat="1">
      <c r="B29" s="150"/>
      <c r="C29" s="151"/>
      <c r="D29" s="151"/>
      <c r="E29" s="151"/>
      <c r="F29" s="89"/>
      <c r="G29" s="89"/>
      <c r="H29" s="89"/>
      <c r="I29" s="146"/>
      <c r="K29" s="150">
        <v>216</v>
      </c>
      <c r="L29" s="151">
        <v>217</v>
      </c>
      <c r="M29" s="151">
        <v>218</v>
      </c>
      <c r="N29" s="151">
        <v>219</v>
      </c>
      <c r="O29" s="89">
        <v>220</v>
      </c>
      <c r="P29" s="89">
        <v>221</v>
      </c>
      <c r="Q29" s="89">
        <v>222</v>
      </c>
      <c r="R29" s="146">
        <v>223</v>
      </c>
    </row>
    <row r="30" spans="2:18" s="103" customFormat="1">
      <c r="B30" s="145"/>
      <c r="C30" s="89"/>
      <c r="D30" s="89"/>
      <c r="E30" s="89"/>
      <c r="F30" s="89"/>
      <c r="G30" s="89"/>
      <c r="H30" s="89"/>
      <c r="I30" s="146"/>
      <c r="K30" s="145">
        <v>224</v>
      </c>
      <c r="L30" s="89">
        <v>225</v>
      </c>
      <c r="M30" s="89">
        <v>226</v>
      </c>
      <c r="N30" s="89">
        <v>227</v>
      </c>
      <c r="O30" s="89">
        <v>228</v>
      </c>
      <c r="P30" s="89">
        <v>229</v>
      </c>
      <c r="Q30" s="89">
        <v>230</v>
      </c>
      <c r="R30" s="146">
        <v>231</v>
      </c>
    </row>
    <row r="31" spans="2:18" s="103" customFormat="1">
      <c r="B31" s="150"/>
      <c r="C31" s="151"/>
      <c r="D31" s="151"/>
      <c r="E31" s="151"/>
      <c r="F31" s="89"/>
      <c r="G31" s="89"/>
      <c r="H31" s="89"/>
      <c r="I31" s="146"/>
      <c r="K31" s="150">
        <v>232</v>
      </c>
      <c r="L31" s="151">
        <v>233</v>
      </c>
      <c r="M31" s="151">
        <v>234</v>
      </c>
      <c r="N31" s="151">
        <v>235</v>
      </c>
      <c r="O31" s="89">
        <v>236</v>
      </c>
      <c r="P31" s="89">
        <v>237</v>
      </c>
      <c r="Q31" s="89">
        <v>238</v>
      </c>
      <c r="R31" s="146">
        <v>239</v>
      </c>
    </row>
    <row r="32" spans="2:18" s="103" customFormat="1">
      <c r="B32" s="145"/>
      <c r="C32" s="89"/>
      <c r="D32" s="89"/>
      <c r="E32" s="89"/>
      <c r="F32" s="89"/>
      <c r="G32" s="89"/>
      <c r="H32" s="89"/>
      <c r="I32" s="146"/>
      <c r="K32" s="145">
        <v>240</v>
      </c>
      <c r="L32" s="89">
        <v>241</v>
      </c>
      <c r="M32" s="89">
        <v>242</v>
      </c>
      <c r="N32" s="89">
        <v>243</v>
      </c>
      <c r="O32" s="89">
        <v>244</v>
      </c>
      <c r="P32" s="89">
        <v>245</v>
      </c>
      <c r="Q32" s="89">
        <v>246</v>
      </c>
      <c r="R32" s="146">
        <v>247</v>
      </c>
    </row>
    <row r="33" spans="2:18" s="103" customFormat="1">
      <c r="B33" s="150"/>
      <c r="C33" s="151"/>
      <c r="D33" s="151"/>
      <c r="E33" s="151"/>
      <c r="F33" s="89"/>
      <c r="G33" s="89"/>
      <c r="H33" s="89"/>
      <c r="I33" s="146"/>
      <c r="K33" s="150">
        <v>248</v>
      </c>
      <c r="L33" s="151">
        <v>249</v>
      </c>
      <c r="M33" s="151">
        <v>250</v>
      </c>
      <c r="N33" s="151">
        <v>251</v>
      </c>
      <c r="O33" s="89">
        <v>252</v>
      </c>
      <c r="P33" s="89">
        <v>253</v>
      </c>
      <c r="Q33" s="89">
        <v>254</v>
      </c>
      <c r="R33" s="146">
        <v>255</v>
      </c>
    </row>
    <row r="34" spans="2:18" s="103" customFormat="1">
      <c r="B34" s="145"/>
      <c r="C34" s="89"/>
      <c r="D34" s="89"/>
      <c r="E34" s="89"/>
      <c r="F34" s="89"/>
      <c r="G34" s="89"/>
      <c r="H34" s="89"/>
      <c r="I34" s="146"/>
      <c r="K34" s="145">
        <v>256</v>
      </c>
      <c r="L34" s="89">
        <v>257</v>
      </c>
      <c r="M34" s="89">
        <v>258</v>
      </c>
      <c r="N34" s="89">
        <v>259</v>
      </c>
      <c r="O34" s="89">
        <v>260</v>
      </c>
      <c r="P34" s="89">
        <v>261</v>
      </c>
      <c r="Q34" s="89">
        <v>262</v>
      </c>
      <c r="R34" s="146">
        <v>263</v>
      </c>
    </row>
    <row r="35" spans="2:18" s="103" customFormat="1">
      <c r="B35" s="150"/>
      <c r="C35" s="151"/>
      <c r="D35" s="151"/>
      <c r="E35" s="151"/>
      <c r="F35" s="89"/>
      <c r="G35" s="89"/>
      <c r="H35" s="89"/>
      <c r="I35" s="146"/>
      <c r="K35" s="150">
        <v>264</v>
      </c>
      <c r="L35" s="151">
        <v>265</v>
      </c>
      <c r="M35" s="151">
        <v>266</v>
      </c>
      <c r="N35" s="151">
        <v>267</v>
      </c>
      <c r="O35" s="89">
        <v>268</v>
      </c>
      <c r="P35" s="89">
        <v>269</v>
      </c>
      <c r="Q35" s="89">
        <v>270</v>
      </c>
      <c r="R35" s="146">
        <v>271</v>
      </c>
    </row>
    <row r="36" spans="2:18" s="103" customFormat="1">
      <c r="B36" s="145"/>
      <c r="C36" s="89"/>
      <c r="D36" s="89"/>
      <c r="E36" s="89"/>
      <c r="F36" s="89"/>
      <c r="G36" s="89"/>
      <c r="H36" s="89"/>
      <c r="I36" s="146"/>
      <c r="K36" s="145">
        <v>272</v>
      </c>
      <c r="L36" s="89">
        <v>273</v>
      </c>
      <c r="M36" s="89">
        <v>274</v>
      </c>
      <c r="N36" s="89">
        <v>275</v>
      </c>
      <c r="O36" s="89">
        <v>276</v>
      </c>
      <c r="P36" s="89">
        <v>277</v>
      </c>
      <c r="Q36" s="89">
        <v>278</v>
      </c>
      <c r="R36" s="146">
        <v>279</v>
      </c>
    </row>
    <row r="37" spans="2:18" s="103" customFormat="1">
      <c r="B37" s="150"/>
      <c r="C37" s="151"/>
      <c r="D37" s="151"/>
      <c r="E37" s="151"/>
      <c r="F37" s="89"/>
      <c r="G37" s="89"/>
      <c r="H37" s="89"/>
      <c r="I37" s="146"/>
      <c r="K37" s="150">
        <v>280</v>
      </c>
      <c r="L37" s="151">
        <v>281</v>
      </c>
      <c r="M37" s="151">
        <v>282</v>
      </c>
      <c r="N37" s="151">
        <v>283</v>
      </c>
      <c r="O37" s="89">
        <v>284</v>
      </c>
      <c r="P37" s="89">
        <v>285</v>
      </c>
      <c r="Q37" s="89">
        <v>286</v>
      </c>
      <c r="R37" s="146">
        <v>287</v>
      </c>
    </row>
    <row r="38" spans="2:18" s="103" customFormat="1">
      <c r="B38" s="145"/>
      <c r="C38" s="89"/>
      <c r="D38" s="89"/>
      <c r="E38" s="89"/>
      <c r="F38" s="89"/>
      <c r="G38" s="89"/>
      <c r="H38" s="89"/>
      <c r="I38" s="146"/>
      <c r="K38" s="145">
        <v>288</v>
      </c>
      <c r="L38" s="89">
        <v>289</v>
      </c>
      <c r="M38" s="89">
        <v>290</v>
      </c>
      <c r="N38" s="89">
        <v>291</v>
      </c>
      <c r="O38" s="89">
        <v>292</v>
      </c>
      <c r="P38" s="89">
        <v>293</v>
      </c>
      <c r="Q38" s="89">
        <v>294</v>
      </c>
      <c r="R38" s="146">
        <v>295</v>
      </c>
    </row>
    <row r="39" spans="2:18" s="103" customFormat="1">
      <c r="B39" s="150"/>
      <c r="C39" s="151"/>
      <c r="D39" s="151"/>
      <c r="E39" s="151"/>
      <c r="F39" s="89"/>
      <c r="G39" s="89"/>
      <c r="H39" s="89"/>
      <c r="I39" s="146"/>
      <c r="K39" s="150">
        <v>296</v>
      </c>
      <c r="L39" s="151">
        <v>297</v>
      </c>
      <c r="M39" s="151">
        <v>298</v>
      </c>
      <c r="N39" s="151">
        <v>299</v>
      </c>
      <c r="O39" s="89">
        <v>300</v>
      </c>
      <c r="P39" s="89">
        <v>301</v>
      </c>
      <c r="Q39" s="89">
        <v>302</v>
      </c>
      <c r="R39" s="146">
        <v>303</v>
      </c>
    </row>
    <row r="40" spans="2:18" s="103" customFormat="1">
      <c r="B40" s="145"/>
      <c r="C40" s="89"/>
      <c r="D40" s="89"/>
      <c r="E40" s="89"/>
      <c r="F40" s="89"/>
      <c r="G40" s="89"/>
      <c r="H40" s="89"/>
      <c r="I40" s="146"/>
      <c r="K40" s="145">
        <v>304</v>
      </c>
      <c r="L40" s="89">
        <v>305</v>
      </c>
      <c r="M40" s="89">
        <v>306</v>
      </c>
      <c r="N40" s="89">
        <v>307</v>
      </c>
      <c r="O40" s="89">
        <v>308</v>
      </c>
      <c r="P40" s="89">
        <v>309</v>
      </c>
      <c r="Q40" s="89">
        <v>310</v>
      </c>
      <c r="R40" s="146">
        <v>311</v>
      </c>
    </row>
    <row r="41" spans="2:18" s="103" customFormat="1">
      <c r="B41" s="150"/>
      <c r="C41" s="151"/>
      <c r="D41" s="151"/>
      <c r="E41" s="151"/>
      <c r="F41" s="89"/>
      <c r="G41" s="89"/>
      <c r="H41" s="89"/>
      <c r="I41" s="146"/>
      <c r="K41" s="150">
        <v>312</v>
      </c>
      <c r="L41" s="151">
        <v>313</v>
      </c>
      <c r="M41" s="151">
        <v>314</v>
      </c>
      <c r="N41" s="151">
        <v>315</v>
      </c>
      <c r="O41" s="89">
        <v>316</v>
      </c>
      <c r="P41" s="89">
        <v>317</v>
      </c>
      <c r="Q41" s="89">
        <v>318</v>
      </c>
      <c r="R41" s="146">
        <v>319</v>
      </c>
    </row>
    <row r="42" spans="2:18" s="103" customFormat="1">
      <c r="B42" s="145"/>
      <c r="C42" s="89"/>
      <c r="D42" s="89"/>
      <c r="E42" s="89"/>
      <c r="F42" s="89"/>
      <c r="G42" s="89"/>
      <c r="H42" s="89"/>
      <c r="I42" s="146"/>
      <c r="K42" s="145">
        <v>320</v>
      </c>
      <c r="L42" s="89">
        <v>321</v>
      </c>
      <c r="M42" s="89">
        <v>322</v>
      </c>
      <c r="N42" s="89">
        <v>323</v>
      </c>
      <c r="O42" s="89">
        <v>324</v>
      </c>
      <c r="P42" s="89">
        <v>325</v>
      </c>
      <c r="Q42" s="89">
        <v>326</v>
      </c>
      <c r="R42" s="146">
        <v>327</v>
      </c>
    </row>
    <row r="43" spans="2:18" s="103" customFormat="1">
      <c r="B43" s="150"/>
      <c r="C43" s="151"/>
      <c r="D43" s="151"/>
      <c r="E43" s="151"/>
      <c r="F43" s="89"/>
      <c r="G43" s="89"/>
      <c r="H43" s="89"/>
      <c r="I43" s="146"/>
      <c r="K43" s="150">
        <v>328</v>
      </c>
      <c r="L43" s="151">
        <v>329</v>
      </c>
      <c r="M43" s="151">
        <v>330</v>
      </c>
      <c r="N43" s="151">
        <v>331</v>
      </c>
      <c r="O43" s="89">
        <v>332</v>
      </c>
      <c r="P43" s="89">
        <v>333</v>
      </c>
      <c r="Q43" s="89">
        <v>334</v>
      </c>
      <c r="R43" s="146">
        <v>335</v>
      </c>
    </row>
    <row r="44" spans="2:18" s="103" customFormat="1">
      <c r="B44" s="145"/>
      <c r="C44" s="89"/>
      <c r="D44" s="89"/>
      <c r="E44" s="89"/>
      <c r="F44" s="89"/>
      <c r="G44" s="89"/>
      <c r="H44" s="89"/>
      <c r="I44" s="146"/>
      <c r="K44" s="145">
        <v>336</v>
      </c>
      <c r="L44" s="89">
        <v>337</v>
      </c>
      <c r="M44" s="89">
        <v>338</v>
      </c>
      <c r="N44" s="89">
        <v>339</v>
      </c>
      <c r="O44" s="89">
        <v>340</v>
      </c>
      <c r="P44" s="89">
        <v>341</v>
      </c>
      <c r="Q44" s="89">
        <v>342</v>
      </c>
      <c r="R44" s="146">
        <v>343</v>
      </c>
    </row>
    <row r="45" spans="2:18" s="103" customFormat="1">
      <c r="B45" s="150"/>
      <c r="C45" s="151"/>
      <c r="D45" s="151"/>
      <c r="E45" s="151"/>
      <c r="F45" s="89"/>
      <c r="G45" s="89"/>
      <c r="H45" s="89"/>
      <c r="I45" s="146"/>
      <c r="K45" s="150">
        <v>344</v>
      </c>
      <c r="L45" s="151">
        <v>345</v>
      </c>
      <c r="M45" s="151">
        <v>346</v>
      </c>
      <c r="N45" s="151">
        <v>347</v>
      </c>
      <c r="O45" s="89">
        <v>348</v>
      </c>
      <c r="P45" s="89">
        <v>349</v>
      </c>
      <c r="Q45" s="89">
        <v>350</v>
      </c>
      <c r="R45" s="146">
        <v>351</v>
      </c>
    </row>
    <row r="46" spans="2:18" s="103" customFormat="1">
      <c r="B46" s="145"/>
      <c r="C46" s="89"/>
      <c r="D46" s="89"/>
      <c r="E46" s="89"/>
      <c r="F46" s="89"/>
      <c r="G46" s="89"/>
      <c r="H46" s="89"/>
      <c r="I46" s="146"/>
      <c r="K46" s="145">
        <v>352</v>
      </c>
      <c r="L46" s="89">
        <v>353</v>
      </c>
      <c r="M46" s="89">
        <v>354</v>
      </c>
      <c r="N46" s="89">
        <v>355</v>
      </c>
      <c r="O46" s="89">
        <v>356</v>
      </c>
      <c r="P46" s="89">
        <v>357</v>
      </c>
      <c r="Q46" s="89">
        <v>358</v>
      </c>
      <c r="R46" s="146">
        <v>359</v>
      </c>
    </row>
    <row r="47" spans="2:18" s="103" customFormat="1">
      <c r="B47" s="150"/>
      <c r="C47" s="151"/>
      <c r="D47" s="151"/>
      <c r="E47" s="151"/>
      <c r="F47" s="89"/>
      <c r="G47" s="89"/>
      <c r="H47" s="89"/>
      <c r="I47" s="146"/>
      <c r="K47" s="150">
        <v>360</v>
      </c>
      <c r="L47" s="151">
        <v>361</v>
      </c>
      <c r="M47" s="151">
        <v>362</v>
      </c>
      <c r="N47" s="151">
        <v>363</v>
      </c>
      <c r="O47" s="89">
        <v>364</v>
      </c>
      <c r="P47" s="89">
        <v>365</v>
      </c>
      <c r="Q47" s="89">
        <v>366</v>
      </c>
      <c r="R47" s="146">
        <v>367</v>
      </c>
    </row>
    <row r="48" spans="2:18" s="103" customFormat="1">
      <c r="B48" s="145"/>
      <c r="C48" s="89"/>
      <c r="D48" s="89"/>
      <c r="E48" s="89"/>
      <c r="F48" s="89"/>
      <c r="G48" s="89"/>
      <c r="H48" s="89"/>
      <c r="I48" s="146"/>
      <c r="K48" s="145">
        <v>368</v>
      </c>
      <c r="L48" s="89">
        <v>369</v>
      </c>
      <c r="M48" s="89">
        <v>370</v>
      </c>
      <c r="N48" s="89">
        <v>371</v>
      </c>
      <c r="O48" s="89">
        <v>372</v>
      </c>
      <c r="P48" s="89">
        <v>373</v>
      </c>
      <c r="Q48" s="89">
        <v>374</v>
      </c>
      <c r="R48" s="146">
        <v>375</v>
      </c>
    </row>
    <row r="49" spans="2:18" s="103" customFormat="1">
      <c r="B49" s="150"/>
      <c r="C49" s="151"/>
      <c r="D49" s="151"/>
      <c r="E49" s="151"/>
      <c r="F49" s="89"/>
      <c r="G49" s="89"/>
      <c r="H49" s="89"/>
      <c r="I49" s="146"/>
      <c r="K49" s="150">
        <v>376</v>
      </c>
      <c r="L49" s="151">
        <v>377</v>
      </c>
      <c r="M49" s="151">
        <v>378</v>
      </c>
      <c r="N49" s="151">
        <v>379</v>
      </c>
      <c r="O49" s="89">
        <v>380</v>
      </c>
      <c r="P49" s="89">
        <v>381</v>
      </c>
      <c r="Q49" s="89">
        <v>382</v>
      </c>
      <c r="R49" s="146">
        <v>383</v>
      </c>
    </row>
    <row r="50" spans="2:18" s="103" customFormat="1">
      <c r="B50" s="145"/>
      <c r="C50" s="89"/>
      <c r="D50" s="89"/>
      <c r="E50" s="89"/>
      <c r="F50" s="89"/>
      <c r="G50" s="89"/>
      <c r="H50" s="89"/>
      <c r="I50" s="146"/>
      <c r="K50" s="145">
        <v>384</v>
      </c>
      <c r="L50" s="89">
        <v>385</v>
      </c>
      <c r="M50" s="89">
        <v>386</v>
      </c>
      <c r="N50" s="89">
        <v>387</v>
      </c>
      <c r="O50" s="89">
        <v>388</v>
      </c>
      <c r="P50" s="89">
        <v>389</v>
      </c>
      <c r="Q50" s="89">
        <v>390</v>
      </c>
      <c r="R50" s="146">
        <v>391</v>
      </c>
    </row>
    <row r="51" spans="2:18" s="103" customFormat="1">
      <c r="B51" s="150"/>
      <c r="C51" s="151"/>
      <c r="D51" s="151"/>
      <c r="E51" s="151"/>
      <c r="F51" s="89"/>
      <c r="G51" s="89"/>
      <c r="H51" s="89"/>
      <c r="I51" s="146"/>
      <c r="K51" s="150">
        <v>392</v>
      </c>
      <c r="L51" s="151">
        <v>393</v>
      </c>
      <c r="M51" s="151">
        <v>394</v>
      </c>
      <c r="N51" s="151">
        <v>395</v>
      </c>
      <c r="O51" s="89">
        <v>396</v>
      </c>
      <c r="P51" s="89">
        <v>397</v>
      </c>
      <c r="Q51" s="89">
        <v>398</v>
      </c>
      <c r="R51" s="146">
        <v>399</v>
      </c>
    </row>
    <row r="52" spans="2:18" s="103" customFormat="1">
      <c r="B52" s="145"/>
      <c r="C52" s="89"/>
      <c r="D52" s="89"/>
      <c r="E52" s="89"/>
      <c r="F52" s="89"/>
      <c r="G52" s="89"/>
      <c r="H52" s="89"/>
      <c r="I52" s="146"/>
      <c r="K52" s="145">
        <v>400</v>
      </c>
      <c r="L52" s="89">
        <v>401</v>
      </c>
      <c r="M52" s="89">
        <v>402</v>
      </c>
      <c r="N52" s="89">
        <v>403</v>
      </c>
      <c r="O52" s="89">
        <v>404</v>
      </c>
      <c r="P52" s="89">
        <v>405</v>
      </c>
      <c r="Q52" s="89">
        <v>406</v>
      </c>
      <c r="R52" s="146">
        <v>407</v>
      </c>
    </row>
    <row r="53" spans="2:18" s="103" customFormat="1">
      <c r="B53" s="150"/>
      <c r="C53" s="151"/>
      <c r="D53" s="151"/>
      <c r="E53" s="151"/>
      <c r="F53" s="89"/>
      <c r="G53" s="89"/>
      <c r="H53" s="89"/>
      <c r="I53" s="146"/>
      <c r="K53" s="150">
        <v>408</v>
      </c>
      <c r="L53" s="151">
        <v>409</v>
      </c>
      <c r="M53" s="151">
        <v>410</v>
      </c>
      <c r="N53" s="151">
        <v>411</v>
      </c>
      <c r="O53" s="89">
        <v>412</v>
      </c>
      <c r="P53" s="89">
        <v>413</v>
      </c>
      <c r="Q53" s="89">
        <v>414</v>
      </c>
      <c r="R53" s="146">
        <v>415</v>
      </c>
    </row>
    <row r="54" spans="2:18" s="103" customFormat="1" ht="17.25" thickBot="1">
      <c r="B54" s="131"/>
      <c r="C54" s="132"/>
      <c r="D54" s="132"/>
      <c r="E54" s="132"/>
      <c r="F54" s="132"/>
      <c r="G54" s="132"/>
      <c r="H54" s="132"/>
      <c r="I54" s="147"/>
      <c r="K54" s="131">
        <v>416</v>
      </c>
      <c r="L54" s="132">
        <v>417</v>
      </c>
      <c r="M54" s="132">
        <v>418</v>
      </c>
      <c r="N54" s="132">
        <v>419</v>
      </c>
      <c r="O54" s="132">
        <v>420</v>
      </c>
      <c r="P54" s="132">
        <v>421</v>
      </c>
      <c r="Q54" s="132">
        <v>422</v>
      </c>
      <c r="R54" s="147">
        <v>423</v>
      </c>
    </row>
    <row r="55" spans="2:18" ht="18" thickTop="1" thickBot="1"/>
    <row r="56" spans="2:18" ht="17.25" thickTop="1">
      <c r="B56" s="188" t="s">
        <v>303</v>
      </c>
      <c r="C56" s="189"/>
      <c r="D56" s="189"/>
      <c r="E56" s="189"/>
      <c r="F56" s="180" t="s">
        <v>304</v>
      </c>
      <c r="G56" s="180"/>
      <c r="H56" s="180"/>
      <c r="I56" s="181"/>
      <c r="K56" s="148">
        <v>0</v>
      </c>
      <c r="L56" s="149">
        <v>1</v>
      </c>
      <c r="M56" s="149">
        <v>2</v>
      </c>
      <c r="N56" s="149">
        <v>3</v>
      </c>
      <c r="O56" s="128">
        <v>4</v>
      </c>
      <c r="P56" s="128">
        <v>5</v>
      </c>
      <c r="Q56" s="128">
        <v>6</v>
      </c>
      <c r="R56" s="144">
        <v>7</v>
      </c>
    </row>
    <row r="57" spans="2:18">
      <c r="B57" s="163" t="s">
        <v>302</v>
      </c>
      <c r="C57" s="164"/>
      <c r="D57" s="164"/>
      <c r="E57" s="164"/>
      <c r="F57" s="89"/>
      <c r="G57" s="89"/>
      <c r="H57" s="89"/>
      <c r="I57" s="146"/>
      <c r="K57" s="145">
        <v>8</v>
      </c>
      <c r="L57" s="89">
        <v>9</v>
      </c>
      <c r="M57" s="89">
        <v>10</v>
      </c>
      <c r="N57" s="89">
        <v>11</v>
      </c>
      <c r="O57" s="89">
        <v>12</v>
      </c>
      <c r="P57" s="89">
        <v>13</v>
      </c>
      <c r="Q57" s="89">
        <v>14</v>
      </c>
      <c r="R57" s="146">
        <v>15</v>
      </c>
    </row>
    <row r="58" spans="2:18">
      <c r="B58" s="182" t="s">
        <v>229</v>
      </c>
      <c r="C58" s="183"/>
      <c r="D58" s="183"/>
      <c r="E58" s="183"/>
      <c r="F58" s="183" t="s">
        <v>230</v>
      </c>
      <c r="G58" s="183"/>
      <c r="H58" s="183"/>
      <c r="I58" s="184"/>
      <c r="J58" s="103"/>
      <c r="K58" s="150">
        <v>16</v>
      </c>
      <c r="L58" s="151">
        <v>17</v>
      </c>
      <c r="M58" s="151">
        <v>18</v>
      </c>
      <c r="N58" s="151">
        <v>19</v>
      </c>
      <c r="O58" s="89">
        <v>20</v>
      </c>
      <c r="P58" s="89">
        <v>21</v>
      </c>
      <c r="Q58" s="89">
        <v>22</v>
      </c>
      <c r="R58" s="146">
        <v>23</v>
      </c>
    </row>
    <row r="59" spans="2:18">
      <c r="B59" s="182" t="s">
        <v>305</v>
      </c>
      <c r="C59" s="183"/>
      <c r="D59" s="183"/>
      <c r="E59" s="183"/>
      <c r="F59" s="183"/>
      <c r="G59" s="183"/>
      <c r="H59" s="183"/>
      <c r="I59" s="184"/>
      <c r="J59" s="103"/>
      <c r="K59" s="145">
        <v>24</v>
      </c>
      <c r="L59" s="89">
        <v>25</v>
      </c>
      <c r="M59" s="89">
        <v>26</v>
      </c>
      <c r="N59" s="89">
        <v>27</v>
      </c>
      <c r="O59" s="89">
        <v>28</v>
      </c>
      <c r="P59" s="89">
        <v>29</v>
      </c>
      <c r="Q59" s="89">
        <v>30</v>
      </c>
      <c r="R59" s="146">
        <v>31</v>
      </c>
    </row>
    <row r="60" spans="2:18">
      <c r="B60" s="182" t="s">
        <v>236</v>
      </c>
      <c r="C60" s="183"/>
      <c r="D60" s="183"/>
      <c r="E60" s="183"/>
      <c r="F60" s="183" t="s">
        <v>238</v>
      </c>
      <c r="G60" s="183"/>
      <c r="H60" s="183"/>
      <c r="I60" s="184"/>
      <c r="J60" s="103"/>
      <c r="K60" s="150">
        <v>32</v>
      </c>
      <c r="L60" s="151">
        <v>33</v>
      </c>
      <c r="M60" s="151">
        <v>34</v>
      </c>
      <c r="N60" s="151">
        <v>35</v>
      </c>
      <c r="O60" s="89">
        <v>36</v>
      </c>
      <c r="P60" s="89">
        <v>37</v>
      </c>
      <c r="Q60" s="89">
        <v>38</v>
      </c>
      <c r="R60" s="146">
        <v>39</v>
      </c>
    </row>
    <row r="61" spans="2:18">
      <c r="B61" s="182" t="s">
        <v>306</v>
      </c>
      <c r="C61" s="183"/>
      <c r="D61" s="183"/>
      <c r="E61" s="183"/>
      <c r="F61" s="183"/>
      <c r="G61" s="183"/>
      <c r="H61" s="183"/>
      <c r="I61" s="184"/>
      <c r="J61" s="103"/>
      <c r="K61" s="145">
        <v>40</v>
      </c>
      <c r="L61" s="89">
        <v>41</v>
      </c>
      <c r="M61" s="89">
        <v>42</v>
      </c>
      <c r="N61" s="89">
        <v>43</v>
      </c>
      <c r="O61" s="89">
        <v>44</v>
      </c>
      <c r="P61" s="89">
        <v>45</v>
      </c>
      <c r="Q61" s="89">
        <v>46</v>
      </c>
      <c r="R61" s="146">
        <v>47</v>
      </c>
    </row>
    <row r="62" spans="2:18">
      <c r="B62" s="182" t="s">
        <v>307</v>
      </c>
      <c r="C62" s="183"/>
      <c r="D62" s="183"/>
      <c r="E62" s="183"/>
      <c r="F62" s="183" t="s">
        <v>308</v>
      </c>
      <c r="G62" s="183"/>
      <c r="H62" s="183"/>
      <c r="I62" s="184"/>
      <c r="J62" s="103"/>
      <c r="K62" s="150">
        <v>48</v>
      </c>
      <c r="L62" s="151">
        <v>49</v>
      </c>
      <c r="M62" s="151">
        <v>50</v>
      </c>
      <c r="N62" s="151">
        <v>51</v>
      </c>
      <c r="O62" s="89">
        <v>52</v>
      </c>
      <c r="P62" s="89">
        <v>53</v>
      </c>
      <c r="Q62" s="89">
        <v>54</v>
      </c>
      <c r="R62" s="146">
        <v>55</v>
      </c>
    </row>
    <row r="63" spans="2:18">
      <c r="B63" s="182" t="s">
        <v>235</v>
      </c>
      <c r="C63" s="183"/>
      <c r="D63" s="183"/>
      <c r="E63" s="183"/>
      <c r="F63" s="183" t="s">
        <v>309</v>
      </c>
      <c r="G63" s="183"/>
      <c r="H63" s="183"/>
      <c r="I63" s="184"/>
      <c r="J63" s="103"/>
      <c r="K63" s="145">
        <v>56</v>
      </c>
      <c r="L63" s="89">
        <v>57</v>
      </c>
      <c r="M63" s="89">
        <v>58</v>
      </c>
      <c r="N63" s="89">
        <v>59</v>
      </c>
      <c r="O63" s="89">
        <v>60</v>
      </c>
      <c r="P63" s="89">
        <v>61</v>
      </c>
      <c r="Q63" s="89">
        <v>62</v>
      </c>
      <c r="R63" s="146">
        <v>63</v>
      </c>
    </row>
    <row r="64" spans="2:18">
      <c r="B64" s="178" t="s">
        <v>233</v>
      </c>
      <c r="C64" s="175"/>
      <c r="D64" s="175"/>
      <c r="E64" s="175"/>
      <c r="F64" s="89"/>
      <c r="G64" s="89"/>
      <c r="H64" s="89"/>
      <c r="I64" s="146"/>
      <c r="J64" s="103"/>
      <c r="K64" s="150">
        <v>64</v>
      </c>
      <c r="L64" s="151">
        <v>65</v>
      </c>
      <c r="M64" s="151">
        <v>66</v>
      </c>
      <c r="N64" s="151">
        <v>67</v>
      </c>
      <c r="O64" s="89">
        <v>68</v>
      </c>
      <c r="P64" s="89">
        <v>69</v>
      </c>
      <c r="Q64" s="89">
        <v>70</v>
      </c>
      <c r="R64" s="146">
        <v>71</v>
      </c>
    </row>
    <row r="65" spans="2:18">
      <c r="B65" s="163" t="s">
        <v>232</v>
      </c>
      <c r="C65" s="164"/>
      <c r="D65" s="164"/>
      <c r="E65" s="164"/>
      <c r="F65" s="183"/>
      <c r="G65" s="183"/>
      <c r="H65" s="183"/>
      <c r="I65" s="184"/>
      <c r="J65" s="103"/>
      <c r="K65" s="145">
        <v>72</v>
      </c>
      <c r="L65" s="89">
        <v>73</v>
      </c>
      <c r="M65" s="89">
        <v>74</v>
      </c>
      <c r="N65" s="89">
        <v>75</v>
      </c>
      <c r="O65" s="89">
        <v>76</v>
      </c>
      <c r="P65" s="89">
        <v>77</v>
      </c>
      <c r="Q65" s="89">
        <v>78</v>
      </c>
      <c r="R65" s="146">
        <v>79</v>
      </c>
    </row>
    <row r="66" spans="2:18">
      <c r="B66" s="182"/>
      <c r="C66" s="183"/>
      <c r="D66" s="183"/>
      <c r="E66" s="183"/>
      <c r="F66" s="164"/>
      <c r="G66" s="164"/>
      <c r="H66" s="164"/>
      <c r="I66" s="165"/>
      <c r="J66" s="103"/>
      <c r="K66" s="150">
        <v>80</v>
      </c>
      <c r="L66" s="151">
        <v>81</v>
      </c>
      <c r="M66" s="151">
        <v>82</v>
      </c>
      <c r="N66" s="151">
        <v>83</v>
      </c>
      <c r="O66" s="89">
        <v>84</v>
      </c>
      <c r="P66" s="89">
        <v>85</v>
      </c>
      <c r="Q66" s="89">
        <v>86</v>
      </c>
      <c r="R66" s="146">
        <v>87</v>
      </c>
    </row>
    <row r="67" spans="2:18">
      <c r="B67" s="182" t="s">
        <v>297</v>
      </c>
      <c r="C67" s="183"/>
      <c r="D67" s="183"/>
      <c r="E67" s="183"/>
      <c r="F67" s="164"/>
      <c r="G67" s="164"/>
      <c r="H67" s="164"/>
      <c r="I67" s="165"/>
      <c r="J67" s="103"/>
      <c r="K67" s="145">
        <v>88</v>
      </c>
      <c r="L67" s="89">
        <v>89</v>
      </c>
      <c r="M67" s="89">
        <v>90</v>
      </c>
      <c r="N67" s="89">
        <v>91</v>
      </c>
      <c r="O67" s="89">
        <v>92</v>
      </c>
      <c r="P67" s="89">
        <v>93</v>
      </c>
      <c r="Q67" s="89">
        <v>94</v>
      </c>
      <c r="R67" s="146">
        <v>95</v>
      </c>
    </row>
    <row r="68" spans="2:18">
      <c r="B68" s="163" t="s">
        <v>298</v>
      </c>
      <c r="C68" s="164"/>
      <c r="D68" s="164"/>
      <c r="E68" s="164"/>
      <c r="F68" s="164" t="s">
        <v>299</v>
      </c>
      <c r="G68" s="164"/>
      <c r="H68" s="164"/>
      <c r="I68" s="165"/>
      <c r="J68" s="103"/>
      <c r="K68" s="150">
        <v>96</v>
      </c>
      <c r="L68" s="151">
        <v>97</v>
      </c>
      <c r="M68" s="151">
        <v>98</v>
      </c>
      <c r="N68" s="151">
        <v>99</v>
      </c>
      <c r="O68" s="89">
        <v>100</v>
      </c>
      <c r="P68" s="89">
        <v>101</v>
      </c>
      <c r="Q68" s="89">
        <v>102</v>
      </c>
      <c r="R68" s="146">
        <v>103</v>
      </c>
    </row>
    <row r="69" spans="2:18">
      <c r="B69" s="163" t="s">
        <v>300</v>
      </c>
      <c r="C69" s="164"/>
      <c r="D69" s="164"/>
      <c r="E69" s="164"/>
      <c r="F69" s="164"/>
      <c r="G69" s="164"/>
      <c r="H69" s="164"/>
      <c r="I69" s="165"/>
      <c r="J69" s="103"/>
      <c r="K69" s="145">
        <v>104</v>
      </c>
      <c r="L69" s="89">
        <v>105</v>
      </c>
      <c r="M69" s="89">
        <v>106</v>
      </c>
      <c r="N69" s="89">
        <v>107</v>
      </c>
      <c r="O69" s="89">
        <v>108</v>
      </c>
      <c r="P69" s="89">
        <v>109</v>
      </c>
      <c r="Q69" s="89">
        <v>110</v>
      </c>
      <c r="R69" s="146">
        <v>111</v>
      </c>
    </row>
    <row r="70" spans="2:18">
      <c r="B70" s="163">
        <v>0.90700000000000003</v>
      </c>
      <c r="C70" s="164"/>
      <c r="D70" s="164"/>
      <c r="E70" s="164"/>
      <c r="F70" s="164">
        <v>0.95199999999999996</v>
      </c>
      <c r="G70" s="164"/>
      <c r="H70" s="164"/>
      <c r="I70" s="165"/>
      <c r="J70" s="103"/>
      <c r="K70" s="150">
        <v>112</v>
      </c>
      <c r="L70" s="151">
        <v>113</v>
      </c>
      <c r="M70" s="151">
        <v>114</v>
      </c>
      <c r="N70" s="151">
        <v>115</v>
      </c>
      <c r="O70" s="89">
        <v>116</v>
      </c>
      <c r="P70" s="89">
        <v>117</v>
      </c>
      <c r="Q70" s="89">
        <v>118</v>
      </c>
      <c r="R70" s="146">
        <v>119</v>
      </c>
    </row>
    <row r="71" spans="2:18">
      <c r="B71" s="163" t="s">
        <v>301</v>
      </c>
      <c r="C71" s="164"/>
      <c r="D71" s="164"/>
      <c r="E71" s="164"/>
      <c r="F71" s="164" t="s">
        <v>301</v>
      </c>
      <c r="G71" s="164"/>
      <c r="H71" s="164"/>
      <c r="I71" s="165"/>
      <c r="J71" s="103"/>
      <c r="K71" s="145">
        <v>120</v>
      </c>
      <c r="L71" s="89">
        <v>121</v>
      </c>
      <c r="M71" s="89">
        <v>122</v>
      </c>
      <c r="N71" s="89">
        <v>123</v>
      </c>
      <c r="O71" s="89">
        <v>124</v>
      </c>
      <c r="P71" s="89">
        <v>125</v>
      </c>
      <c r="Q71" s="89">
        <v>126</v>
      </c>
      <c r="R71" s="146">
        <v>127</v>
      </c>
    </row>
    <row r="72" spans="2:18">
      <c r="B72" s="163" t="s">
        <v>301</v>
      </c>
      <c r="C72" s="164"/>
      <c r="D72" s="164"/>
      <c r="E72" s="164"/>
      <c r="F72" s="164" t="s">
        <v>310</v>
      </c>
      <c r="G72" s="164"/>
      <c r="H72" s="164"/>
      <c r="I72" s="165"/>
      <c r="J72" s="103"/>
      <c r="K72" s="150">
        <v>128</v>
      </c>
      <c r="L72" s="151">
        <v>129</v>
      </c>
      <c r="M72" s="151">
        <v>130</v>
      </c>
      <c r="N72" s="151">
        <v>131</v>
      </c>
      <c r="O72" s="89">
        <v>132</v>
      </c>
      <c r="P72" s="89">
        <v>133</v>
      </c>
      <c r="Q72" s="89">
        <v>134</v>
      </c>
      <c r="R72" s="146">
        <v>135</v>
      </c>
    </row>
    <row r="73" spans="2:18">
      <c r="B73" s="163" t="s">
        <v>213</v>
      </c>
      <c r="C73" s="164"/>
      <c r="D73" s="164"/>
      <c r="E73" s="164"/>
      <c r="F73" s="183" t="s">
        <v>311</v>
      </c>
      <c r="G73" s="183"/>
      <c r="H73" s="183"/>
      <c r="I73" s="184"/>
      <c r="J73" s="103"/>
      <c r="K73" s="145">
        <v>136</v>
      </c>
      <c r="L73" s="89">
        <v>137</v>
      </c>
      <c r="M73" s="89">
        <v>138</v>
      </c>
      <c r="N73" s="89">
        <v>139</v>
      </c>
      <c r="O73" s="89">
        <v>140</v>
      </c>
      <c r="P73" s="89">
        <v>141</v>
      </c>
      <c r="Q73" s="89">
        <v>142</v>
      </c>
      <c r="R73" s="146">
        <v>143</v>
      </c>
    </row>
    <row r="74" spans="2:18">
      <c r="B74" s="145"/>
      <c r="C74" s="89"/>
      <c r="D74" s="89"/>
      <c r="E74" s="89"/>
      <c r="F74" s="164">
        <v>2</v>
      </c>
      <c r="G74" s="164"/>
      <c r="H74" s="164"/>
      <c r="I74" s="165"/>
      <c r="J74" s="103"/>
      <c r="K74" s="150">
        <v>144</v>
      </c>
      <c r="L74" s="151">
        <v>145</v>
      </c>
      <c r="M74" s="151">
        <v>146</v>
      </c>
      <c r="N74" s="151">
        <v>147</v>
      </c>
      <c r="O74" s="89">
        <v>148</v>
      </c>
      <c r="P74" s="89">
        <v>149</v>
      </c>
      <c r="Q74" s="89">
        <v>150</v>
      </c>
      <c r="R74" s="146">
        <v>151</v>
      </c>
    </row>
    <row r="75" spans="2:18">
      <c r="B75" s="163"/>
      <c r="C75" s="164"/>
      <c r="D75" s="164"/>
      <c r="E75" s="164"/>
      <c r="F75" s="164">
        <v>25</v>
      </c>
      <c r="G75" s="164"/>
      <c r="H75" s="164"/>
      <c r="I75" s="165"/>
      <c r="J75" s="103"/>
      <c r="K75" s="145">
        <v>152</v>
      </c>
      <c r="L75" s="89">
        <v>153</v>
      </c>
      <c r="M75" s="89">
        <v>154</v>
      </c>
      <c r="N75" s="89">
        <v>155</v>
      </c>
      <c r="O75" s="89">
        <v>156</v>
      </c>
      <c r="P75" s="89">
        <v>157</v>
      </c>
      <c r="Q75" s="89">
        <v>158</v>
      </c>
      <c r="R75" s="146">
        <v>159</v>
      </c>
    </row>
    <row r="76" spans="2:18">
      <c r="B76" s="163">
        <v>999</v>
      </c>
      <c r="C76" s="164"/>
      <c r="D76" s="164"/>
      <c r="E76" s="164"/>
      <c r="F76" s="164">
        <v>999</v>
      </c>
      <c r="G76" s="164"/>
      <c r="H76" s="164"/>
      <c r="I76" s="165"/>
      <c r="J76" s="103"/>
      <c r="K76" s="150">
        <v>160</v>
      </c>
      <c r="L76" s="151">
        <v>161</v>
      </c>
      <c r="M76" s="151">
        <v>162</v>
      </c>
      <c r="N76" s="151">
        <v>163</v>
      </c>
      <c r="O76" s="89">
        <v>164</v>
      </c>
      <c r="P76" s="89">
        <v>165</v>
      </c>
      <c r="Q76" s="89">
        <v>166</v>
      </c>
      <c r="R76" s="146">
        <v>167</v>
      </c>
    </row>
    <row r="77" spans="2:18" ht="17.25" thickBot="1">
      <c r="B77" s="166">
        <v>999</v>
      </c>
      <c r="C77" s="167"/>
      <c r="D77" s="167"/>
      <c r="E77" s="167"/>
      <c r="F77" s="167">
        <v>999</v>
      </c>
      <c r="G77" s="167"/>
      <c r="H77" s="167"/>
      <c r="I77" s="168"/>
      <c r="J77" s="103"/>
      <c r="K77" s="131">
        <v>168</v>
      </c>
      <c r="L77" s="132">
        <v>169</v>
      </c>
      <c r="M77" s="132">
        <v>170</v>
      </c>
      <c r="N77" s="132">
        <v>171</v>
      </c>
      <c r="O77" s="132">
        <v>172</v>
      </c>
      <c r="P77" s="132">
        <v>173</v>
      </c>
      <c r="Q77" s="132">
        <v>174</v>
      </c>
      <c r="R77" s="147">
        <v>175</v>
      </c>
    </row>
    <row r="78" spans="2:18" ht="17.25" thickTop="1"/>
  </sheetData>
  <mergeCells count="41">
    <mergeCell ref="B56:E56"/>
    <mergeCell ref="B58:E58"/>
    <mergeCell ref="F58:I58"/>
    <mergeCell ref="B59:E59"/>
    <mergeCell ref="F59:I59"/>
    <mergeCell ref="B69:E69"/>
    <mergeCell ref="F69:I69"/>
    <mergeCell ref="F68:I68"/>
    <mergeCell ref="B60:E60"/>
    <mergeCell ref="F60:I60"/>
    <mergeCell ref="B61:E61"/>
    <mergeCell ref="F61:I61"/>
    <mergeCell ref="B62:E62"/>
    <mergeCell ref="B63:E63"/>
    <mergeCell ref="F63:I63"/>
    <mergeCell ref="F65:I65"/>
    <mergeCell ref="B66:E66"/>
    <mergeCell ref="F66:I66"/>
    <mergeCell ref="F67:I67"/>
    <mergeCell ref="B67:E67"/>
    <mergeCell ref="F77:I77"/>
    <mergeCell ref="B77:E77"/>
    <mergeCell ref="F56:I56"/>
    <mergeCell ref="B57:E57"/>
    <mergeCell ref="F62:I62"/>
    <mergeCell ref="B64:E64"/>
    <mergeCell ref="B65:E65"/>
    <mergeCell ref="B68:E68"/>
    <mergeCell ref="B70:E70"/>
    <mergeCell ref="F70:I70"/>
    <mergeCell ref="F74:I74"/>
    <mergeCell ref="B75:E75"/>
    <mergeCell ref="F75:I75"/>
    <mergeCell ref="B71:E71"/>
    <mergeCell ref="F71:I71"/>
    <mergeCell ref="B72:E72"/>
    <mergeCell ref="F72:I72"/>
    <mergeCell ref="B73:E73"/>
    <mergeCell ref="F73:I73"/>
    <mergeCell ref="B76:E76"/>
    <mergeCell ref="F76:I7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9071-B98B-46D2-87C4-4302AFE8D66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2C55-B555-40AE-99BE-05719CB9B5A0}">
  <dimension ref="A1:J50"/>
  <sheetViews>
    <sheetView tabSelected="1" workbookViewId="0">
      <selection activeCell="J11" sqref="J11"/>
    </sheetView>
  </sheetViews>
  <sheetFormatPr defaultRowHeight="16.5"/>
  <cols>
    <col min="1" max="1" width="21.375" bestFit="1" customWidth="1"/>
    <col min="2" max="4" width="16.375" bestFit="1" customWidth="1"/>
    <col min="5" max="5" width="12.375" bestFit="1" customWidth="1"/>
    <col min="6" max="6" width="11" bestFit="1" customWidth="1"/>
    <col min="7" max="7" width="12.125" bestFit="1" customWidth="1"/>
    <col min="8" max="8" width="13" bestFit="1" customWidth="1"/>
    <col min="10" max="10" width="49.875" bestFit="1" customWidth="1"/>
  </cols>
  <sheetData>
    <row r="1" spans="1:10">
      <c r="A1" s="113">
        <v>28</v>
      </c>
      <c r="B1" s="113">
        <v>0</v>
      </c>
      <c r="C1" s="116">
        <v>0</v>
      </c>
      <c r="D1" s="116">
        <v>115</v>
      </c>
      <c r="E1" s="113">
        <v>1</v>
      </c>
      <c r="F1" s="113">
        <v>0</v>
      </c>
      <c r="G1" s="113">
        <v>2</v>
      </c>
      <c r="H1" s="113">
        <v>0</v>
      </c>
      <c r="J1" s="110"/>
    </row>
    <row r="2" spans="1:10">
      <c r="A2" s="113">
        <v>88</v>
      </c>
      <c r="B2" s="113">
        <v>1</v>
      </c>
      <c r="C2" s="116">
        <v>31</v>
      </c>
      <c r="D2" s="116">
        <v>119</v>
      </c>
      <c r="E2" s="113">
        <v>0</v>
      </c>
      <c r="F2" s="113">
        <v>0</v>
      </c>
      <c r="G2" s="113">
        <v>0</v>
      </c>
      <c r="H2" s="113">
        <v>0</v>
      </c>
      <c r="J2" s="109"/>
    </row>
    <row r="3" spans="1:10">
      <c r="A3" s="113">
        <v>130</v>
      </c>
      <c r="B3" s="113">
        <v>125</v>
      </c>
      <c r="C3" s="111">
        <v>0</v>
      </c>
      <c r="D3" s="111">
        <v>0</v>
      </c>
      <c r="E3" s="113">
        <v>0</v>
      </c>
      <c r="F3" s="113">
        <v>0</v>
      </c>
      <c r="G3" s="113">
        <v>0</v>
      </c>
      <c r="H3" s="113">
        <v>0</v>
      </c>
      <c r="J3" s="110"/>
    </row>
    <row r="4" spans="1:10">
      <c r="A4" s="113">
        <v>0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J4" s="109"/>
    </row>
    <row r="5" spans="1:10">
      <c r="A5" s="113">
        <v>0</v>
      </c>
      <c r="B5" s="113">
        <v>0</v>
      </c>
      <c r="C5" s="113">
        <v>0</v>
      </c>
      <c r="D5" s="113">
        <v>0</v>
      </c>
      <c r="E5" s="113">
        <v>0</v>
      </c>
      <c r="F5" s="113">
        <v>0</v>
      </c>
      <c r="G5" s="113">
        <v>0</v>
      </c>
      <c r="H5" s="113">
        <v>0</v>
      </c>
      <c r="J5" s="110"/>
    </row>
    <row r="6" spans="1:10">
      <c r="A6" s="113">
        <v>1</v>
      </c>
      <c r="B6" s="111">
        <v>0</v>
      </c>
      <c r="C6" s="111">
        <v>0</v>
      </c>
      <c r="D6" s="111">
        <v>0</v>
      </c>
      <c r="E6" s="113">
        <v>0</v>
      </c>
      <c r="F6" s="113">
        <v>0</v>
      </c>
      <c r="G6" s="113">
        <v>0</v>
      </c>
      <c r="H6" s="113">
        <v>0</v>
      </c>
      <c r="J6" s="109"/>
    </row>
    <row r="7" spans="1:10">
      <c r="A7" s="113">
        <v>0</v>
      </c>
      <c r="B7" s="113">
        <v>0</v>
      </c>
      <c r="C7" s="113">
        <v>0</v>
      </c>
      <c r="D7" s="113">
        <v>0</v>
      </c>
      <c r="E7" s="113">
        <v>0</v>
      </c>
      <c r="F7" s="113">
        <v>0</v>
      </c>
      <c r="G7" s="113">
        <v>0</v>
      </c>
      <c r="H7" s="113">
        <v>0</v>
      </c>
      <c r="J7" s="110"/>
    </row>
    <row r="8" spans="1:10">
      <c r="A8" s="113">
        <v>0</v>
      </c>
      <c r="B8" s="113">
        <v>0</v>
      </c>
      <c r="C8" s="113">
        <v>0</v>
      </c>
      <c r="D8" s="113">
        <v>0</v>
      </c>
      <c r="E8" s="113">
        <v>0</v>
      </c>
      <c r="F8" s="113">
        <v>0</v>
      </c>
      <c r="G8" s="113">
        <v>0</v>
      </c>
      <c r="H8" s="113">
        <v>0</v>
      </c>
      <c r="J8" s="109"/>
    </row>
    <row r="9" spans="1:10">
      <c r="A9" s="113">
        <v>0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J9" s="110"/>
    </row>
    <row r="10" spans="1:10">
      <c r="A10" s="113">
        <v>130</v>
      </c>
      <c r="B10" s="113">
        <v>125</v>
      </c>
      <c r="C10" s="113">
        <v>0</v>
      </c>
      <c r="D10" s="113">
        <v>0</v>
      </c>
      <c r="E10" s="113">
        <v>0</v>
      </c>
      <c r="F10" s="113">
        <v>0</v>
      </c>
      <c r="G10" s="113">
        <v>0</v>
      </c>
      <c r="H10" s="113">
        <v>0</v>
      </c>
      <c r="J10" s="109"/>
    </row>
    <row r="11" spans="1:10">
      <c r="A11" s="111">
        <v>0</v>
      </c>
      <c r="B11" s="111">
        <v>0</v>
      </c>
      <c r="C11" s="113">
        <v>89</v>
      </c>
      <c r="D11" s="111">
        <v>1</v>
      </c>
      <c r="E11" s="116">
        <v>94</v>
      </c>
      <c r="F11" s="116">
        <v>1</v>
      </c>
      <c r="G11" s="116">
        <v>94</v>
      </c>
      <c r="H11" s="116">
        <v>1</v>
      </c>
      <c r="J11" s="110"/>
    </row>
    <row r="12" spans="1:10">
      <c r="A12" s="111">
        <v>0</v>
      </c>
      <c r="B12" s="116">
        <v>243</v>
      </c>
      <c r="C12" s="116">
        <v>127</v>
      </c>
      <c r="D12" s="116">
        <v>1</v>
      </c>
      <c r="E12" s="113">
        <v>0</v>
      </c>
      <c r="F12" s="113">
        <v>0</v>
      </c>
      <c r="G12" s="113">
        <v>0</v>
      </c>
      <c r="H12" s="113">
        <v>0</v>
      </c>
      <c r="J12" s="109"/>
    </row>
    <row r="13" spans="1:10">
      <c r="A13" s="113">
        <v>0</v>
      </c>
      <c r="B13" s="113">
        <v>0</v>
      </c>
      <c r="C13" s="116">
        <v>0</v>
      </c>
      <c r="D13" s="116">
        <v>0</v>
      </c>
      <c r="E13" s="111">
        <v>3</v>
      </c>
      <c r="F13" s="111">
        <v>0</v>
      </c>
      <c r="G13" s="116">
        <v>0</v>
      </c>
      <c r="H13" s="116">
        <v>0</v>
      </c>
      <c r="J13" s="110"/>
    </row>
    <row r="14" spans="1:10">
      <c r="A14" s="103"/>
      <c r="B14" s="103"/>
      <c r="C14" s="103"/>
      <c r="D14" s="103"/>
      <c r="E14" s="103"/>
      <c r="F14" s="103"/>
      <c r="G14" s="103"/>
      <c r="H14" s="103"/>
      <c r="J14" s="109"/>
    </row>
    <row r="15" spans="1:10">
      <c r="A15" s="113" t="s">
        <v>81</v>
      </c>
      <c r="B15" s="113" t="s">
        <v>154</v>
      </c>
      <c r="C15" s="114" t="s">
        <v>150</v>
      </c>
      <c r="D15" s="114" t="s">
        <v>150</v>
      </c>
      <c r="E15" s="113" t="s">
        <v>152</v>
      </c>
      <c r="F15" s="117"/>
      <c r="G15" s="113" t="s">
        <v>153</v>
      </c>
      <c r="H15" s="117"/>
      <c r="J15" s="110"/>
    </row>
    <row r="16" spans="1:10">
      <c r="A16" s="113" t="s">
        <v>100</v>
      </c>
      <c r="B16" s="115"/>
      <c r="C16" s="114" t="s">
        <v>150</v>
      </c>
      <c r="D16" s="114" t="s">
        <v>150</v>
      </c>
      <c r="E16" s="113" t="s">
        <v>157</v>
      </c>
      <c r="F16" s="113" t="s">
        <v>155</v>
      </c>
      <c r="G16" s="113" t="s">
        <v>156</v>
      </c>
      <c r="H16" s="113" t="s">
        <v>158</v>
      </c>
      <c r="J16" s="109"/>
    </row>
    <row r="17" spans="1:10">
      <c r="A17" s="113" t="s">
        <v>159</v>
      </c>
      <c r="B17" s="113" t="s">
        <v>160</v>
      </c>
      <c r="C17" s="115"/>
      <c r="D17" s="115"/>
      <c r="E17" s="113" t="s">
        <v>172</v>
      </c>
      <c r="F17" s="113" t="s">
        <v>172</v>
      </c>
      <c r="G17" s="113" t="s">
        <v>172</v>
      </c>
      <c r="H17" s="113" t="s">
        <v>172</v>
      </c>
      <c r="J17" s="110"/>
    </row>
    <row r="18" spans="1:10">
      <c r="A18" s="113" t="s">
        <v>171</v>
      </c>
      <c r="B18" s="113" t="s">
        <v>171</v>
      </c>
      <c r="C18" s="113" t="s">
        <v>171</v>
      </c>
      <c r="D18" s="113" t="s">
        <v>171</v>
      </c>
      <c r="E18" s="113" t="s">
        <v>173</v>
      </c>
      <c r="F18" s="113" t="s">
        <v>173</v>
      </c>
      <c r="G18" s="113" t="s">
        <v>173</v>
      </c>
      <c r="H18" s="113" t="s">
        <v>173</v>
      </c>
      <c r="J18" s="109"/>
    </row>
    <row r="19" spans="1:10">
      <c r="A19" s="113" t="s">
        <v>174</v>
      </c>
      <c r="B19" s="113" t="s">
        <v>174</v>
      </c>
      <c r="C19" s="113" t="s">
        <v>174</v>
      </c>
      <c r="D19" s="113" t="s">
        <v>174</v>
      </c>
      <c r="E19" s="113" t="s">
        <v>78</v>
      </c>
      <c r="F19" s="113" t="s">
        <v>78</v>
      </c>
      <c r="G19" s="113" t="s">
        <v>78</v>
      </c>
      <c r="H19" s="113" t="s">
        <v>78</v>
      </c>
      <c r="J19" s="110"/>
    </row>
    <row r="20" spans="1:10">
      <c r="A20" s="113" t="s">
        <v>175</v>
      </c>
      <c r="B20" s="103"/>
      <c r="C20" s="103"/>
      <c r="D20" s="103"/>
      <c r="E20" s="113" t="s">
        <v>19</v>
      </c>
      <c r="F20" s="113" t="s">
        <v>19</v>
      </c>
      <c r="G20" s="113" t="s">
        <v>19</v>
      </c>
      <c r="H20" s="113" t="s">
        <v>19</v>
      </c>
    </row>
    <row r="21" spans="1:10">
      <c r="A21" s="113" t="s">
        <v>25</v>
      </c>
      <c r="B21" s="113" t="s">
        <v>25</v>
      </c>
      <c r="C21" s="113" t="s">
        <v>25</v>
      </c>
      <c r="D21" s="113" t="s">
        <v>25</v>
      </c>
      <c r="E21" s="113" t="s">
        <v>29</v>
      </c>
      <c r="F21" s="113" t="s">
        <v>29</v>
      </c>
      <c r="G21" s="113" t="s">
        <v>29</v>
      </c>
      <c r="H21" s="113" t="s">
        <v>29</v>
      </c>
    </row>
    <row r="22" spans="1:10">
      <c r="A22" s="113" t="s">
        <v>28</v>
      </c>
      <c r="B22" s="113" t="s">
        <v>28</v>
      </c>
      <c r="C22" s="113" t="s">
        <v>28</v>
      </c>
      <c r="D22" s="113" t="s">
        <v>28</v>
      </c>
      <c r="E22" s="113" t="s">
        <v>176</v>
      </c>
      <c r="F22" s="113" t="s">
        <v>176</v>
      </c>
      <c r="G22" s="113" t="s">
        <v>176</v>
      </c>
      <c r="H22" s="113" t="s">
        <v>176</v>
      </c>
    </row>
    <row r="23" spans="1:10">
      <c r="A23" s="113" t="s">
        <v>161</v>
      </c>
      <c r="B23" s="113" t="s">
        <v>162</v>
      </c>
      <c r="C23" s="113" t="s">
        <v>163</v>
      </c>
      <c r="D23" s="113" t="s">
        <v>164</v>
      </c>
      <c r="E23" s="113" t="s">
        <v>177</v>
      </c>
      <c r="F23" s="113" t="s">
        <v>177</v>
      </c>
      <c r="G23" s="113" t="s">
        <v>177</v>
      </c>
      <c r="H23" s="113" t="s">
        <v>177</v>
      </c>
    </row>
    <row r="24" spans="1:10">
      <c r="A24" s="113" t="s">
        <v>165</v>
      </c>
      <c r="B24" s="113" t="s">
        <v>166</v>
      </c>
      <c r="C24" s="113" t="s">
        <v>167</v>
      </c>
      <c r="D24" s="113" t="s">
        <v>168</v>
      </c>
      <c r="E24" s="113" t="s">
        <v>30</v>
      </c>
      <c r="F24" s="113" t="s">
        <v>30</v>
      </c>
      <c r="G24" s="113" t="s">
        <v>30</v>
      </c>
      <c r="H24" s="113" t="s">
        <v>30</v>
      </c>
    </row>
    <row r="25" spans="1:10">
      <c r="A25" s="112"/>
      <c r="B25" s="112"/>
      <c r="C25" s="113" t="s">
        <v>178</v>
      </c>
      <c r="D25" s="112"/>
      <c r="E25" s="114" t="s">
        <v>150</v>
      </c>
      <c r="F25" s="114" t="s">
        <v>150</v>
      </c>
      <c r="G25" s="114" t="s">
        <v>150</v>
      </c>
      <c r="H25" s="114" t="s">
        <v>150</v>
      </c>
    </row>
    <row r="26" spans="1:10">
      <c r="A26" s="112" t="s">
        <v>151</v>
      </c>
      <c r="B26" s="114" t="s">
        <v>150</v>
      </c>
      <c r="C26" s="114" t="s">
        <v>150</v>
      </c>
      <c r="D26" s="114" t="s">
        <v>150</v>
      </c>
      <c r="E26" s="115" t="s">
        <v>179</v>
      </c>
      <c r="F26" s="115" t="s">
        <v>179</v>
      </c>
      <c r="G26" s="115" t="s">
        <v>179</v>
      </c>
      <c r="H26" s="115" t="s">
        <v>179</v>
      </c>
    </row>
    <row r="27" spans="1:10">
      <c r="A27" s="113" t="s">
        <v>169</v>
      </c>
      <c r="B27" s="113" t="s">
        <v>170</v>
      </c>
      <c r="C27" s="114" t="s">
        <v>150</v>
      </c>
      <c r="D27" s="114" t="s">
        <v>150</v>
      </c>
      <c r="E27" s="113" t="s">
        <v>180</v>
      </c>
      <c r="F27" s="112"/>
      <c r="G27" s="114" t="s">
        <v>150</v>
      </c>
      <c r="H27" s="114" t="s">
        <v>150</v>
      </c>
    </row>
    <row r="28" spans="1:10">
      <c r="A28" s="112"/>
      <c r="B28" s="112"/>
      <c r="C28" s="112"/>
      <c r="D28" s="112"/>
      <c r="E28" s="112"/>
      <c r="F28" s="112"/>
      <c r="G28" s="112"/>
      <c r="H28" s="112"/>
    </row>
    <row r="29" spans="1:10">
      <c r="A29" s="112">
        <v>0</v>
      </c>
      <c r="B29" s="112">
        <v>1</v>
      </c>
      <c r="C29" s="112">
        <v>2</v>
      </c>
      <c r="D29" s="112">
        <v>3</v>
      </c>
      <c r="E29" s="112">
        <v>4</v>
      </c>
      <c r="F29" s="112">
        <v>5</v>
      </c>
      <c r="G29" s="112">
        <v>6</v>
      </c>
      <c r="H29" s="112">
        <v>7</v>
      </c>
    </row>
    <row r="30" spans="1:10">
      <c r="A30" s="112">
        <v>8</v>
      </c>
      <c r="B30" s="112">
        <v>9</v>
      </c>
      <c r="C30" s="112">
        <v>10</v>
      </c>
      <c r="D30" s="112">
        <v>11</v>
      </c>
      <c r="E30" s="112">
        <v>12</v>
      </c>
      <c r="F30" s="112">
        <v>13</v>
      </c>
      <c r="G30" s="112">
        <v>14</v>
      </c>
      <c r="H30" s="112">
        <v>15</v>
      </c>
    </row>
    <row r="31" spans="1:10">
      <c r="A31" s="112">
        <v>16</v>
      </c>
      <c r="B31" s="112">
        <v>17</v>
      </c>
      <c r="C31" s="112">
        <v>18</v>
      </c>
      <c r="D31" s="112">
        <v>19</v>
      </c>
      <c r="E31" s="112">
        <v>20</v>
      </c>
      <c r="F31" s="112">
        <v>21</v>
      </c>
      <c r="G31" s="112">
        <v>22</v>
      </c>
      <c r="H31" s="112">
        <v>23</v>
      </c>
    </row>
    <row r="32" spans="1:10">
      <c r="A32" s="112">
        <v>24</v>
      </c>
      <c r="B32" s="112">
        <v>25</v>
      </c>
      <c r="C32" s="112">
        <v>26</v>
      </c>
      <c r="D32" s="112">
        <v>27</v>
      </c>
      <c r="E32" s="112">
        <v>28</v>
      </c>
      <c r="F32" s="112">
        <v>29</v>
      </c>
      <c r="G32" s="112">
        <v>30</v>
      </c>
      <c r="H32" s="112">
        <v>31</v>
      </c>
      <c r="J32" s="110"/>
    </row>
    <row r="33" spans="1:10">
      <c r="A33" s="112">
        <v>32</v>
      </c>
      <c r="B33" s="112">
        <v>33</v>
      </c>
      <c r="C33" s="112">
        <v>34</v>
      </c>
      <c r="D33" s="112">
        <v>35</v>
      </c>
      <c r="E33" s="112">
        <v>36</v>
      </c>
      <c r="F33" s="112">
        <v>37</v>
      </c>
      <c r="G33" s="112">
        <v>38</v>
      </c>
      <c r="H33" s="112">
        <v>39</v>
      </c>
      <c r="J33" s="109"/>
    </row>
    <row r="34" spans="1:10">
      <c r="A34" s="112">
        <v>40</v>
      </c>
      <c r="B34" s="112">
        <v>41</v>
      </c>
      <c r="C34" s="112">
        <v>42</v>
      </c>
      <c r="D34" s="112">
        <v>43</v>
      </c>
      <c r="E34" s="112">
        <v>44</v>
      </c>
      <c r="F34" s="112">
        <v>45</v>
      </c>
      <c r="G34" s="112">
        <v>46</v>
      </c>
      <c r="H34" s="112">
        <v>47</v>
      </c>
      <c r="J34" s="110"/>
    </row>
    <row r="35" spans="1:10">
      <c r="A35" s="112">
        <v>48</v>
      </c>
      <c r="B35" s="112">
        <v>49</v>
      </c>
      <c r="C35" s="112">
        <v>50</v>
      </c>
      <c r="D35" s="112">
        <v>51</v>
      </c>
      <c r="E35" s="112">
        <v>52</v>
      </c>
      <c r="F35" s="112">
        <v>53</v>
      </c>
      <c r="G35" s="112">
        <v>54</v>
      </c>
      <c r="H35" s="112">
        <v>55</v>
      </c>
      <c r="J35" s="109"/>
    </row>
    <row r="36" spans="1:10">
      <c r="A36" s="112">
        <v>56</v>
      </c>
      <c r="B36" s="112">
        <v>57</v>
      </c>
      <c r="C36" s="112">
        <v>58</v>
      </c>
      <c r="D36" s="112">
        <v>59</v>
      </c>
      <c r="E36" s="112">
        <v>60</v>
      </c>
      <c r="F36" s="112">
        <v>61</v>
      </c>
      <c r="G36" s="112">
        <v>62</v>
      </c>
      <c r="H36" s="112">
        <v>63</v>
      </c>
      <c r="J36" s="110"/>
    </row>
    <row r="37" spans="1:10">
      <c r="A37" s="112">
        <v>64</v>
      </c>
      <c r="B37" s="112">
        <v>65</v>
      </c>
      <c r="C37" s="112">
        <v>66</v>
      </c>
      <c r="D37" s="112">
        <v>67</v>
      </c>
      <c r="E37" s="112">
        <v>68</v>
      </c>
      <c r="F37" s="112">
        <v>69</v>
      </c>
      <c r="G37" s="112">
        <v>70</v>
      </c>
      <c r="H37" s="112">
        <v>71</v>
      </c>
      <c r="J37" s="109"/>
    </row>
    <row r="38" spans="1:10">
      <c r="A38" s="112">
        <v>72</v>
      </c>
      <c r="B38" s="112">
        <v>73</v>
      </c>
      <c r="C38" s="112">
        <v>74</v>
      </c>
      <c r="D38" s="112">
        <v>75</v>
      </c>
      <c r="E38" s="112">
        <v>76</v>
      </c>
      <c r="F38" s="112">
        <v>77</v>
      </c>
      <c r="G38" s="112">
        <v>78</v>
      </c>
      <c r="H38" s="112">
        <v>79</v>
      </c>
      <c r="J38" s="110"/>
    </row>
    <row r="39" spans="1:10">
      <c r="A39" s="112">
        <v>80</v>
      </c>
      <c r="B39" s="112">
        <v>81</v>
      </c>
      <c r="C39" s="112">
        <v>82</v>
      </c>
      <c r="D39" s="112">
        <v>83</v>
      </c>
      <c r="E39" s="112">
        <v>84</v>
      </c>
      <c r="F39" s="112">
        <v>85</v>
      </c>
      <c r="G39" s="112">
        <v>86</v>
      </c>
      <c r="H39" s="112">
        <v>87</v>
      </c>
      <c r="J39" s="109"/>
    </row>
    <row r="40" spans="1:10">
      <c r="A40" s="112">
        <v>88</v>
      </c>
      <c r="B40" s="112">
        <v>89</v>
      </c>
      <c r="C40" s="112">
        <v>90</v>
      </c>
      <c r="D40" s="112">
        <v>91</v>
      </c>
      <c r="E40" s="112">
        <v>92</v>
      </c>
      <c r="F40" s="112">
        <v>93</v>
      </c>
      <c r="G40" s="112">
        <v>94</v>
      </c>
      <c r="H40" s="112">
        <v>95</v>
      </c>
      <c r="J40" s="110"/>
    </row>
    <row r="41" spans="1:10">
      <c r="A41" s="112">
        <v>96</v>
      </c>
      <c r="B41" s="112">
        <v>97</v>
      </c>
      <c r="C41" s="112">
        <v>98</v>
      </c>
      <c r="D41" s="112">
        <v>99</v>
      </c>
      <c r="E41" s="112">
        <v>100</v>
      </c>
      <c r="F41" s="112">
        <v>101</v>
      </c>
      <c r="G41" s="112">
        <v>102</v>
      </c>
      <c r="H41" s="112">
        <v>103</v>
      </c>
      <c r="J41" s="109"/>
    </row>
    <row r="42" spans="1:10">
      <c r="J42" s="110"/>
    </row>
    <row r="43" spans="1:10">
      <c r="J43" s="109"/>
    </row>
    <row r="44" spans="1:10">
      <c r="J44" s="110"/>
    </row>
    <row r="45" spans="1:10">
      <c r="J45" s="109"/>
    </row>
    <row r="46" spans="1:10">
      <c r="J46" s="110"/>
    </row>
    <row r="47" spans="1:10">
      <c r="J47" s="109"/>
    </row>
    <row r="48" spans="1:10">
      <c r="J48" s="110"/>
    </row>
    <row r="49" spans="10:10">
      <c r="J49" s="109"/>
    </row>
    <row r="50" spans="10:10">
      <c r="J50" s="110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EE4D-054D-423A-AFA1-14EBEBF68BD6}">
  <dimension ref="A1:V43"/>
  <sheetViews>
    <sheetView topLeftCell="A4" zoomScale="85" zoomScaleNormal="85" workbookViewId="0">
      <selection activeCell="J34" sqref="J34"/>
    </sheetView>
  </sheetViews>
  <sheetFormatPr defaultRowHeight="16.5"/>
  <cols>
    <col min="15" max="15" width="10" bestFit="1" customWidth="1"/>
    <col min="16" max="16" width="12.125" bestFit="1" customWidth="1"/>
    <col min="17" max="17" width="20.875" bestFit="1" customWidth="1"/>
  </cols>
  <sheetData>
    <row r="1" spans="1:21">
      <c r="A1" s="110" t="s">
        <v>101</v>
      </c>
      <c r="F1" s="110" t="s">
        <v>106</v>
      </c>
      <c r="K1" s="110" t="s">
        <v>119</v>
      </c>
      <c r="P1" s="110" t="s">
        <v>127</v>
      </c>
      <c r="U1" s="110" t="s">
        <v>139</v>
      </c>
    </row>
    <row r="2" spans="1:21">
      <c r="A2" s="109"/>
      <c r="F2" s="109"/>
      <c r="K2" s="109"/>
      <c r="P2" s="109"/>
      <c r="U2" s="109"/>
    </row>
    <row r="3" spans="1:21">
      <c r="A3" s="110" t="s">
        <v>102</v>
      </c>
      <c r="F3" s="110" t="s">
        <v>107</v>
      </c>
      <c r="K3" s="110" t="s">
        <v>120</v>
      </c>
      <c r="P3" s="110" t="s">
        <v>128</v>
      </c>
      <c r="U3" s="110" t="s">
        <v>140</v>
      </c>
    </row>
    <row r="4" spans="1:21">
      <c r="A4" s="109"/>
      <c r="F4" s="109"/>
      <c r="K4" s="109"/>
      <c r="P4" s="109"/>
      <c r="U4" s="109"/>
    </row>
    <row r="5" spans="1:21">
      <c r="A5" s="110" t="s">
        <v>103</v>
      </c>
      <c r="F5" s="110" t="s">
        <v>108</v>
      </c>
      <c r="K5" s="110" t="s">
        <v>121</v>
      </c>
      <c r="P5" s="110" t="s">
        <v>129</v>
      </c>
      <c r="U5" s="110" t="s">
        <v>141</v>
      </c>
    </row>
    <row r="6" spans="1:21">
      <c r="A6" s="109"/>
      <c r="F6" s="109"/>
      <c r="K6" s="109"/>
      <c r="P6" s="109"/>
      <c r="U6" s="109"/>
    </row>
    <row r="7" spans="1:21">
      <c r="A7" s="110" t="s">
        <v>96</v>
      </c>
      <c r="F7" s="110" t="s">
        <v>109</v>
      </c>
      <c r="K7" s="110" t="s">
        <v>96</v>
      </c>
      <c r="P7" s="110" t="s">
        <v>130</v>
      </c>
      <c r="U7" s="110" t="s">
        <v>96</v>
      </c>
    </row>
    <row r="8" spans="1:21">
      <c r="A8" s="109"/>
      <c r="F8" s="109"/>
      <c r="K8" s="109"/>
      <c r="P8" s="109"/>
      <c r="U8" s="109"/>
    </row>
    <row r="9" spans="1:21">
      <c r="A9" s="110" t="s">
        <v>104</v>
      </c>
      <c r="F9" s="110" t="s">
        <v>110</v>
      </c>
      <c r="K9" s="110" t="s">
        <v>122</v>
      </c>
      <c r="P9" s="110" t="s">
        <v>131</v>
      </c>
      <c r="U9" s="110" t="s">
        <v>142</v>
      </c>
    </row>
    <row r="10" spans="1:21">
      <c r="A10" s="109"/>
      <c r="F10" s="109"/>
      <c r="K10" s="109"/>
      <c r="P10" s="109"/>
      <c r="U10" s="109"/>
    </row>
    <row r="11" spans="1:21">
      <c r="A11" s="110" t="s">
        <v>97</v>
      </c>
      <c r="F11" s="110" t="s">
        <v>111</v>
      </c>
      <c r="K11" s="110" t="s">
        <v>123</v>
      </c>
      <c r="P11" s="110" t="s">
        <v>132</v>
      </c>
      <c r="U11" s="110" t="s">
        <v>123</v>
      </c>
    </row>
    <row r="12" spans="1:21">
      <c r="A12" s="109"/>
      <c r="F12" s="109"/>
      <c r="K12" s="109"/>
      <c r="P12" s="109"/>
      <c r="U12" s="109"/>
    </row>
    <row r="13" spans="1:21">
      <c r="A13" s="110" t="s">
        <v>96</v>
      </c>
      <c r="F13" s="110" t="s">
        <v>112</v>
      </c>
      <c r="K13" s="110" t="s">
        <v>124</v>
      </c>
      <c r="P13" s="110" t="s">
        <v>133</v>
      </c>
      <c r="U13" s="110" t="s">
        <v>133</v>
      </c>
    </row>
    <row r="14" spans="1:21">
      <c r="A14" s="109"/>
      <c r="F14" s="109"/>
      <c r="K14" s="109"/>
      <c r="P14" s="109"/>
      <c r="U14" s="109"/>
    </row>
    <row r="15" spans="1:21">
      <c r="A15" s="110" t="s">
        <v>96</v>
      </c>
      <c r="F15" s="110" t="s">
        <v>113</v>
      </c>
      <c r="K15" s="110" t="s">
        <v>113</v>
      </c>
      <c r="P15" s="110" t="s">
        <v>134</v>
      </c>
      <c r="U15" s="110" t="s">
        <v>143</v>
      </c>
    </row>
    <row r="16" spans="1:21">
      <c r="A16" s="109"/>
      <c r="F16" s="109"/>
      <c r="K16" s="109"/>
      <c r="P16" s="109"/>
      <c r="U16" s="109"/>
    </row>
    <row r="17" spans="1:22">
      <c r="A17" s="110" t="s">
        <v>96</v>
      </c>
      <c r="F17" s="110" t="s">
        <v>114</v>
      </c>
      <c r="K17" s="110" t="s">
        <v>96</v>
      </c>
      <c r="P17" s="110" t="s">
        <v>135</v>
      </c>
      <c r="U17" s="110" t="s">
        <v>96</v>
      </c>
    </row>
    <row r="18" spans="1:22">
      <c r="A18" s="109"/>
      <c r="F18" s="109"/>
      <c r="K18" s="109"/>
      <c r="P18" s="109"/>
      <c r="U18" s="109"/>
    </row>
    <row r="19" spans="1:22">
      <c r="A19" s="110" t="s">
        <v>95</v>
      </c>
      <c r="F19" s="110" t="s">
        <v>115</v>
      </c>
      <c r="K19" s="110" t="s">
        <v>125</v>
      </c>
      <c r="P19" s="110" t="s">
        <v>136</v>
      </c>
      <c r="U19" s="110" t="s">
        <v>144</v>
      </c>
    </row>
    <row r="20" spans="1:22">
      <c r="A20" s="109"/>
      <c r="F20" s="109"/>
      <c r="K20" s="109"/>
      <c r="P20" s="109"/>
      <c r="U20" s="109"/>
    </row>
    <row r="21" spans="1:22">
      <c r="A21" s="110" t="s">
        <v>98</v>
      </c>
      <c r="F21" s="110" t="s">
        <v>116</v>
      </c>
      <c r="K21" s="110" t="s">
        <v>116</v>
      </c>
      <c r="P21" s="110" t="s">
        <v>137</v>
      </c>
      <c r="U21" s="110" t="s">
        <v>145</v>
      </c>
    </row>
    <row r="22" spans="1:22">
      <c r="A22" s="109"/>
      <c r="F22" s="109"/>
      <c r="K22" s="109"/>
      <c r="P22" s="109"/>
      <c r="U22" s="109"/>
    </row>
    <row r="23" spans="1:22">
      <c r="A23" s="110" t="s">
        <v>99</v>
      </c>
      <c r="F23" s="110" t="s">
        <v>117</v>
      </c>
      <c r="K23" s="110" t="s">
        <v>99</v>
      </c>
      <c r="P23" s="110" t="s">
        <v>99</v>
      </c>
      <c r="U23" s="110" t="s">
        <v>99</v>
      </c>
    </row>
    <row r="24" spans="1:22">
      <c r="A24" s="109"/>
      <c r="F24" s="109"/>
      <c r="K24" s="109"/>
      <c r="P24" s="109"/>
      <c r="U24" s="109"/>
    </row>
    <row r="25" spans="1:22">
      <c r="A25" s="110" t="s">
        <v>105</v>
      </c>
      <c r="F25" s="110" t="s">
        <v>118</v>
      </c>
      <c r="K25" s="110" t="s">
        <v>126</v>
      </c>
      <c r="P25" s="110" t="s">
        <v>138</v>
      </c>
      <c r="U25" s="110" t="s">
        <v>146</v>
      </c>
    </row>
    <row r="29" spans="1:22">
      <c r="B29" t="s">
        <v>147</v>
      </c>
      <c r="G29" t="s">
        <v>148</v>
      </c>
      <c r="L29" t="s">
        <v>147</v>
      </c>
      <c r="Q29" t="s">
        <v>149</v>
      </c>
      <c r="V29" t="s">
        <v>147</v>
      </c>
    </row>
    <row r="32" spans="1:22">
      <c r="G32">
        <f>41*256</f>
        <v>10496</v>
      </c>
      <c r="H32">
        <f>G32+245</f>
        <v>10741</v>
      </c>
      <c r="M32">
        <v>131</v>
      </c>
      <c r="N32">
        <v>99</v>
      </c>
      <c r="O32">
        <v>41.869</v>
      </c>
    </row>
    <row r="33" spans="5:19">
      <c r="M33">
        <v>107</v>
      </c>
      <c r="N33">
        <v>99</v>
      </c>
      <c r="O33">
        <v>41.866999999999997</v>
      </c>
    </row>
    <row r="34" spans="5:19">
      <c r="E34">
        <v>0</v>
      </c>
      <c r="F34" t="s">
        <v>320</v>
      </c>
      <c r="M34">
        <v>87</v>
      </c>
      <c r="N34">
        <v>99</v>
      </c>
      <c r="O34">
        <v>41.865000000000002</v>
      </c>
    </row>
    <row r="35" spans="5:19">
      <c r="E35">
        <v>1</v>
      </c>
      <c r="F35" t="s">
        <v>317</v>
      </c>
      <c r="K35">
        <f>99*256+6*256*256+131</f>
        <v>418691</v>
      </c>
    </row>
    <row r="36" spans="5:19">
      <c r="E36">
        <v>3</v>
      </c>
      <c r="F36" t="s">
        <v>318</v>
      </c>
      <c r="M36">
        <v>87</v>
      </c>
      <c r="N36">
        <v>1</v>
      </c>
    </row>
    <row r="37" spans="5:19">
      <c r="E37">
        <v>2</v>
      </c>
      <c r="F37" t="s">
        <v>319</v>
      </c>
      <c r="M37">
        <f>M36</f>
        <v>87</v>
      </c>
      <c r="N37">
        <f>N36*2^8</f>
        <v>256</v>
      </c>
      <c r="O37">
        <f>O36*2^16</f>
        <v>0</v>
      </c>
      <c r="P37">
        <f>P36*2^24</f>
        <v>0</v>
      </c>
      <c r="Q37" s="118">
        <f>SUM(M37:P37)</f>
        <v>343</v>
      </c>
      <c r="R37">
        <f>Q37/3600</f>
        <v>9.5277777777777781E-2</v>
      </c>
      <c r="S37">
        <f>R37/24</f>
        <v>3.9699074074074072E-3</v>
      </c>
    </row>
    <row r="38" spans="5:19">
      <c r="M38">
        <f>255-M36</f>
        <v>168</v>
      </c>
      <c r="N38" s="103">
        <f>(255-N36)*2^8</f>
        <v>65024</v>
      </c>
      <c r="O38" s="103">
        <f>(255-O36)*2^16</f>
        <v>16711680</v>
      </c>
      <c r="P38" s="103">
        <f>(255-P36)*2^20</f>
        <v>267386880</v>
      </c>
      <c r="Q38">
        <f>-SUM(M38:P38)</f>
        <v>-284163752</v>
      </c>
    </row>
    <row r="41" spans="5:19">
      <c r="M41">
        <v>152</v>
      </c>
      <c r="N41">
        <v>156</v>
      </c>
      <c r="O41">
        <v>249</v>
      </c>
      <c r="P41">
        <v>255</v>
      </c>
      <c r="R41">
        <v>41.866</v>
      </c>
    </row>
    <row r="42" spans="5:19">
      <c r="M42">
        <v>129</v>
      </c>
      <c r="N42">
        <v>156</v>
      </c>
      <c r="O42">
        <v>249</v>
      </c>
      <c r="P42">
        <v>255</v>
      </c>
      <c r="R42">
        <v>41.869</v>
      </c>
    </row>
    <row r="43" spans="5:19">
      <c r="M43">
        <v>184</v>
      </c>
      <c r="N43">
        <v>156</v>
      </c>
      <c r="O43" s="103">
        <v>249</v>
      </c>
      <c r="P43" s="103">
        <v>255</v>
      </c>
      <c r="R43">
        <v>41.863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workbookViewId="0">
      <selection activeCell="D26" sqref="D26"/>
    </sheetView>
  </sheetViews>
  <sheetFormatPr defaultRowHeight="16.5"/>
  <cols>
    <col min="1" max="1" width="15" customWidth="1"/>
  </cols>
  <sheetData>
    <row r="1" spans="1:10" ht="18" thickTop="1" thickBot="1">
      <c r="A1" s="97">
        <v>8</v>
      </c>
      <c r="B1" s="94">
        <v>0</v>
      </c>
      <c r="C1" s="104">
        <v>0</v>
      </c>
      <c r="D1" s="4">
        <v>74</v>
      </c>
      <c r="E1" s="107">
        <v>1</v>
      </c>
      <c r="F1" s="5">
        <v>0</v>
      </c>
      <c r="G1" s="107">
        <v>2</v>
      </c>
      <c r="H1" s="6">
        <v>0</v>
      </c>
      <c r="J1" s="95" t="s">
        <v>87</v>
      </c>
    </row>
    <row r="2" spans="1:10" ht="17.25" thickTop="1">
      <c r="A2" s="7" t="s">
        <v>0</v>
      </c>
      <c r="B2" s="8">
        <v>0</v>
      </c>
      <c r="C2" s="9">
        <v>0</v>
      </c>
      <c r="D2" s="10">
        <v>0</v>
      </c>
      <c r="E2" s="106">
        <v>96</v>
      </c>
      <c r="F2" s="11" t="s">
        <v>1</v>
      </c>
      <c r="G2" s="108" t="s">
        <v>2</v>
      </c>
      <c r="H2" s="12" t="s">
        <v>3</v>
      </c>
      <c r="J2" s="95" t="s">
        <v>34</v>
      </c>
    </row>
    <row r="3" spans="1:10">
      <c r="A3" s="13" t="s">
        <v>4</v>
      </c>
      <c r="B3" s="14" t="s">
        <v>5</v>
      </c>
      <c r="C3" s="43">
        <v>0</v>
      </c>
      <c r="D3" s="44">
        <v>0</v>
      </c>
      <c r="E3" s="15" t="s">
        <v>6</v>
      </c>
      <c r="F3" s="16">
        <v>1</v>
      </c>
      <c r="G3" s="54">
        <v>0</v>
      </c>
      <c r="H3" s="55">
        <v>0</v>
      </c>
      <c r="J3" s="95" t="s">
        <v>88</v>
      </c>
    </row>
    <row r="4" spans="1:10">
      <c r="A4" s="17">
        <v>27</v>
      </c>
      <c r="B4" s="18" t="s">
        <v>7</v>
      </c>
      <c r="C4" s="19" t="s">
        <v>8</v>
      </c>
      <c r="D4" s="20" t="s">
        <v>3</v>
      </c>
      <c r="E4" s="49" t="s">
        <v>9</v>
      </c>
      <c r="F4" s="50">
        <v>6</v>
      </c>
      <c r="G4" s="51">
        <v>0</v>
      </c>
      <c r="H4" s="50">
        <v>0</v>
      </c>
      <c r="J4" s="95" t="s">
        <v>90</v>
      </c>
    </row>
    <row r="5" spans="1:10">
      <c r="A5" s="21">
        <v>28</v>
      </c>
      <c r="B5" s="22">
        <v>23</v>
      </c>
      <c r="C5" s="41">
        <v>0</v>
      </c>
      <c r="D5" s="42">
        <v>0</v>
      </c>
      <c r="E5" s="84">
        <v>3</v>
      </c>
      <c r="F5" s="84">
        <v>0</v>
      </c>
      <c r="G5" s="84">
        <v>0</v>
      </c>
      <c r="H5" s="87">
        <v>0</v>
      </c>
      <c r="J5" s="96" t="s">
        <v>91</v>
      </c>
    </row>
    <row r="6" spans="1:10">
      <c r="A6" s="85">
        <v>1</v>
      </c>
      <c r="B6" s="86">
        <v>0</v>
      </c>
      <c r="C6" s="4" t="s">
        <v>10</v>
      </c>
      <c r="D6" s="23">
        <v>34</v>
      </c>
      <c r="E6" s="24">
        <v>83</v>
      </c>
      <c r="F6" s="25">
        <v>3</v>
      </c>
      <c r="G6" s="75">
        <v>0</v>
      </c>
      <c r="H6" s="76">
        <v>0</v>
      </c>
      <c r="J6" s="96" t="s">
        <v>89</v>
      </c>
    </row>
    <row r="7" spans="1:10">
      <c r="A7" s="26">
        <v>12</v>
      </c>
      <c r="B7" s="27" t="s">
        <v>8</v>
      </c>
      <c r="C7" s="27" t="s">
        <v>3</v>
      </c>
      <c r="D7" s="28" t="s">
        <v>3</v>
      </c>
      <c r="E7" s="29">
        <v>0</v>
      </c>
      <c r="F7" s="30">
        <v>0</v>
      </c>
      <c r="G7" s="45">
        <v>0</v>
      </c>
      <c r="H7" s="46">
        <v>0</v>
      </c>
      <c r="J7" s="96" t="s">
        <v>92</v>
      </c>
    </row>
    <row r="8" spans="1:10">
      <c r="A8" s="31" t="s">
        <v>6</v>
      </c>
      <c r="B8" s="32">
        <v>1</v>
      </c>
      <c r="C8" s="56">
        <v>0</v>
      </c>
      <c r="D8" s="57">
        <v>0</v>
      </c>
      <c r="E8" s="33" t="s">
        <v>11</v>
      </c>
      <c r="F8" s="34" t="s">
        <v>12</v>
      </c>
      <c r="G8" s="34" t="s">
        <v>3</v>
      </c>
      <c r="H8" s="35" t="s">
        <v>3</v>
      </c>
      <c r="J8" s="96" t="s">
        <v>93</v>
      </c>
    </row>
    <row r="9" spans="1:10">
      <c r="A9" s="47">
        <v>0</v>
      </c>
      <c r="B9" s="48">
        <v>0</v>
      </c>
      <c r="C9" s="47">
        <v>0</v>
      </c>
      <c r="D9" s="48">
        <v>0</v>
      </c>
      <c r="E9" s="15" t="s">
        <v>9</v>
      </c>
      <c r="F9" s="16">
        <v>6</v>
      </c>
      <c r="G9" s="54">
        <v>0</v>
      </c>
      <c r="H9" s="55">
        <v>0</v>
      </c>
      <c r="J9" s="96"/>
    </row>
    <row r="10" spans="1:10">
      <c r="A10" s="36">
        <v>19</v>
      </c>
      <c r="B10" s="37" t="s">
        <v>13</v>
      </c>
      <c r="C10" s="52">
        <v>0</v>
      </c>
      <c r="D10" s="53">
        <v>0</v>
      </c>
      <c r="E10" s="38" t="s">
        <v>14</v>
      </c>
      <c r="F10" s="39" t="s">
        <v>1</v>
      </c>
      <c r="G10" s="39" t="s">
        <v>2</v>
      </c>
      <c r="H10" s="40" t="s">
        <v>3</v>
      </c>
    </row>
    <row r="13" spans="1:10">
      <c r="A13" s="58" t="s">
        <v>60</v>
      </c>
      <c r="B13" s="59" t="s">
        <v>61</v>
      </c>
    </row>
    <row r="14" spans="1:10">
      <c r="A14" s="60" t="s">
        <v>15</v>
      </c>
      <c r="B14" s="61" t="s">
        <v>16</v>
      </c>
    </row>
    <row r="15" spans="1:10">
      <c r="A15" s="62" t="s">
        <v>17</v>
      </c>
      <c r="B15" s="63" t="s">
        <v>18</v>
      </c>
    </row>
    <row r="16" spans="1:10">
      <c r="A16" s="64" t="s">
        <v>21</v>
      </c>
      <c r="B16" s="65" t="s">
        <v>26</v>
      </c>
      <c r="D16" t="s">
        <v>31</v>
      </c>
    </row>
    <row r="17" spans="1:15">
      <c r="A17" s="66" t="s">
        <v>20</v>
      </c>
      <c r="B17" s="88" t="s">
        <v>78</v>
      </c>
    </row>
    <row r="18" spans="1:15">
      <c r="A18" s="58" t="s">
        <v>80</v>
      </c>
      <c r="B18" s="67" t="s">
        <v>19</v>
      </c>
    </row>
    <row r="19" spans="1:15">
      <c r="A19" s="68" t="s">
        <v>25</v>
      </c>
      <c r="B19" s="69" t="s">
        <v>29</v>
      </c>
    </row>
    <row r="20" spans="1:15">
      <c r="A20" s="70" t="s">
        <v>28</v>
      </c>
      <c r="B20" s="71" t="s">
        <v>24</v>
      </c>
    </row>
    <row r="21" spans="1:15">
      <c r="A21" s="72" t="s">
        <v>27</v>
      </c>
      <c r="B21" s="63" t="s">
        <v>23</v>
      </c>
    </row>
    <row r="22" spans="1:15">
      <c r="A22" s="73" t="s">
        <v>22</v>
      </c>
      <c r="B22" s="74" t="s">
        <v>30</v>
      </c>
    </row>
    <row r="24" spans="1:15">
      <c r="J24" s="103" t="s">
        <v>40</v>
      </c>
      <c r="K24" t="s">
        <v>32</v>
      </c>
      <c r="L24" t="s">
        <v>66</v>
      </c>
    </row>
    <row r="25" spans="1:15">
      <c r="K25" t="s">
        <v>33</v>
      </c>
      <c r="L25" t="s">
        <v>81</v>
      </c>
      <c r="M25">
        <v>28</v>
      </c>
    </row>
    <row r="26" spans="1:15">
      <c r="K26" t="s">
        <v>63</v>
      </c>
      <c r="L26" t="s">
        <v>82</v>
      </c>
    </row>
    <row r="27" spans="1:15">
      <c r="A27" s="97">
        <v>8</v>
      </c>
      <c r="B27" s="91">
        <v>0</v>
      </c>
      <c r="C27" s="105">
        <v>0</v>
      </c>
      <c r="D27" s="1">
        <v>74</v>
      </c>
      <c r="E27" s="89"/>
      <c r="F27" s="90"/>
      <c r="G27" s="90"/>
      <c r="H27" s="90"/>
      <c r="K27" t="s">
        <v>65</v>
      </c>
      <c r="L27" t="s">
        <v>83</v>
      </c>
      <c r="N27" s="98"/>
      <c r="O27" s="98"/>
    </row>
    <row r="28" spans="1:15">
      <c r="A28" s="89" t="s">
        <v>85</v>
      </c>
      <c r="B28" s="92" t="s">
        <v>86</v>
      </c>
      <c r="C28" s="89" t="s">
        <v>94</v>
      </c>
      <c r="D28" s="89"/>
      <c r="E28" s="93"/>
      <c r="F28" s="93"/>
      <c r="G28" s="93"/>
      <c r="H28" s="93"/>
      <c r="K28" t="s">
        <v>67</v>
      </c>
      <c r="L28" t="s">
        <v>82</v>
      </c>
      <c r="N28" s="99"/>
      <c r="O28" s="99"/>
    </row>
    <row r="29" spans="1:15">
      <c r="A29" s="89"/>
      <c r="B29" s="89"/>
      <c r="C29" s="2">
        <v>0</v>
      </c>
      <c r="D29" s="2">
        <v>0</v>
      </c>
      <c r="E29" s="3"/>
      <c r="F29" s="3"/>
      <c r="G29" s="3"/>
      <c r="H29" s="3"/>
      <c r="K29" t="s">
        <v>68</v>
      </c>
      <c r="L29" t="s">
        <v>84</v>
      </c>
      <c r="M29">
        <v>11</v>
      </c>
      <c r="N29" s="102"/>
      <c r="O29" s="102"/>
    </row>
    <row r="30" spans="1:15">
      <c r="A30" s="89"/>
      <c r="B30" s="89"/>
      <c r="C30" s="89"/>
      <c r="D30" s="89"/>
      <c r="E30" s="89"/>
      <c r="F30" s="89"/>
      <c r="G30" s="89"/>
      <c r="H30" s="89"/>
      <c r="N30" s="100"/>
      <c r="O30" s="100"/>
    </row>
    <row r="31" spans="1:15">
      <c r="A31" s="85">
        <v>1</v>
      </c>
      <c r="B31" s="86">
        <v>0</v>
      </c>
      <c r="C31" s="4" t="s">
        <v>10</v>
      </c>
      <c r="D31" s="23">
        <v>34</v>
      </c>
      <c r="E31" s="89"/>
      <c r="F31" s="89"/>
      <c r="G31" s="89"/>
      <c r="H31" s="89"/>
      <c r="N31" s="101"/>
      <c r="O31" s="101"/>
    </row>
    <row r="32" spans="1:15">
      <c r="A32" s="190" t="s">
        <v>79</v>
      </c>
      <c r="B32" s="190"/>
      <c r="C32" s="89"/>
      <c r="D32" s="89"/>
      <c r="E32" s="89"/>
      <c r="F32" s="89"/>
      <c r="G32" s="89"/>
      <c r="H32" s="89"/>
      <c r="J32" t="s">
        <v>86</v>
      </c>
      <c r="K32" t="s">
        <v>69</v>
      </c>
      <c r="L32" s="98" t="s">
        <v>70</v>
      </c>
      <c r="N32" s="103"/>
      <c r="O32" s="103"/>
    </row>
    <row r="33" spans="11:13">
      <c r="K33" t="s">
        <v>71</v>
      </c>
      <c r="L33" s="99" t="s">
        <v>62</v>
      </c>
    </row>
    <row r="34" spans="11:13">
      <c r="K34" t="s">
        <v>72</v>
      </c>
      <c r="L34" s="102" t="s">
        <v>64</v>
      </c>
    </row>
    <row r="35" spans="11:13">
      <c r="K35" t="s">
        <v>73</v>
      </c>
      <c r="L35" s="100" t="s">
        <v>74</v>
      </c>
    </row>
    <row r="36" spans="11:13">
      <c r="K36" t="s">
        <v>63</v>
      </c>
      <c r="L36" s="101" t="s">
        <v>75</v>
      </c>
    </row>
    <row r="37" spans="11:13">
      <c r="K37" t="s">
        <v>77</v>
      </c>
      <c r="L37" s="103" t="s">
        <v>76</v>
      </c>
      <c r="M37">
        <v>110</v>
      </c>
    </row>
  </sheetData>
  <mergeCells count="1">
    <mergeCell ref="A32:B3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workbookViewId="0">
      <selection activeCell="F28" sqref="F28"/>
    </sheetView>
  </sheetViews>
  <sheetFormatPr defaultRowHeight="16.5"/>
  <cols>
    <col min="1" max="1" width="17.875" bestFit="1" customWidth="1"/>
    <col min="2" max="3" width="11.125" bestFit="1" customWidth="1"/>
    <col min="4" max="4" width="8.875" bestFit="1" customWidth="1"/>
    <col min="5" max="5" width="11.125" bestFit="1" customWidth="1"/>
    <col min="6" max="6" width="9.25" bestFit="1" customWidth="1"/>
    <col min="7" max="7" width="10.25" bestFit="1" customWidth="1"/>
    <col min="8" max="8" width="9.375" bestFit="1" customWidth="1"/>
    <col min="9" max="9" width="9.875" bestFit="1" customWidth="1"/>
    <col min="10" max="10" width="8.125" bestFit="1" customWidth="1"/>
    <col min="11" max="11" width="7.875" bestFit="1" customWidth="1"/>
    <col min="12" max="12" width="8.75" bestFit="1" customWidth="1"/>
    <col min="13" max="13" width="6.75" bestFit="1" customWidth="1"/>
    <col min="14" max="14" width="9.75" bestFit="1" customWidth="1"/>
    <col min="15" max="15" width="11" bestFit="1" customWidth="1"/>
    <col min="16" max="16" width="6.25" bestFit="1" customWidth="1"/>
    <col min="18" max="18" width="10.25" bestFit="1" customWidth="1"/>
    <col min="19" max="19" width="11.5" bestFit="1" customWidth="1"/>
    <col min="20" max="20" width="11.25" bestFit="1" customWidth="1"/>
    <col min="21" max="21" width="15.375" bestFit="1" customWidth="1"/>
    <col min="22" max="22" width="17.875" bestFit="1" customWidth="1"/>
    <col min="23" max="23" width="2.5" bestFit="1" customWidth="1"/>
  </cols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</row>
    <row r="2" spans="1:25">
      <c r="A2">
        <v>4</v>
      </c>
      <c r="B2">
        <v>1</v>
      </c>
      <c r="C2" s="77">
        <v>44177</v>
      </c>
      <c r="D2" s="78">
        <v>0.58667824074074071</v>
      </c>
      <c r="E2" s="77">
        <v>44223</v>
      </c>
      <c r="F2" s="78">
        <v>0.91718749999999993</v>
      </c>
      <c r="G2">
        <v>29</v>
      </c>
      <c r="H2" t="s">
        <v>57</v>
      </c>
      <c r="I2" t="s">
        <v>58</v>
      </c>
      <c r="J2" s="79">
        <v>2.4293981481481482E-2</v>
      </c>
      <c r="K2" t="s">
        <v>59</v>
      </c>
      <c r="L2" s="79">
        <v>0.33051550925925927</v>
      </c>
      <c r="M2">
        <v>3.347</v>
      </c>
      <c r="N2">
        <v>0</v>
      </c>
      <c r="O2">
        <v>0</v>
      </c>
      <c r="P2">
        <v>0</v>
      </c>
      <c r="Q2">
        <v>0</v>
      </c>
      <c r="R2">
        <v>0</v>
      </c>
      <c r="S2">
        <v>25.6</v>
      </c>
      <c r="T2">
        <v>5</v>
      </c>
      <c r="U2">
        <v>370</v>
      </c>
      <c r="V2">
        <v>3.3370000000000002</v>
      </c>
      <c r="W2">
        <v>0</v>
      </c>
      <c r="X2">
        <v>0</v>
      </c>
      <c r="Y2">
        <v>0</v>
      </c>
    </row>
    <row r="5" spans="1:25">
      <c r="A5" s="80" t="s">
        <v>35</v>
      </c>
      <c r="B5" s="80">
        <v>4</v>
      </c>
      <c r="C5" s="80"/>
    </row>
    <row r="6" spans="1:25">
      <c r="A6" s="80" t="s">
        <v>36</v>
      </c>
      <c r="B6" s="80">
        <v>1</v>
      </c>
      <c r="C6" s="80"/>
    </row>
    <row r="7" spans="1:25">
      <c r="A7" s="80" t="s">
        <v>37</v>
      </c>
      <c r="B7" s="81">
        <v>44177</v>
      </c>
      <c r="C7" s="82">
        <v>0.58667824074074071</v>
      </c>
    </row>
    <row r="8" spans="1:25">
      <c r="A8" s="80" t="s">
        <v>38</v>
      </c>
      <c r="B8" s="81">
        <v>44223</v>
      </c>
      <c r="C8" s="82">
        <v>0.91718749999999993</v>
      </c>
    </row>
    <row r="9" spans="1:25">
      <c r="A9" s="80" t="s">
        <v>39</v>
      </c>
      <c r="B9" s="80">
        <v>29</v>
      </c>
      <c r="C9" s="80"/>
    </row>
    <row r="10" spans="1:25">
      <c r="A10" s="80" t="s">
        <v>40</v>
      </c>
      <c r="B10" s="80" t="s">
        <v>57</v>
      </c>
      <c r="C10" s="80"/>
    </row>
    <row r="11" spans="1:25">
      <c r="A11" s="80" t="s">
        <v>41</v>
      </c>
      <c r="B11" s="80" t="s">
        <v>58</v>
      </c>
      <c r="C11" s="80"/>
    </row>
    <row r="12" spans="1:25">
      <c r="A12" s="80" t="s">
        <v>42</v>
      </c>
      <c r="B12" s="83">
        <v>2.4293981481481482E-2</v>
      </c>
      <c r="C12" s="80"/>
    </row>
    <row r="13" spans="1:25">
      <c r="A13" s="80" t="s">
        <v>43</v>
      </c>
      <c r="B13" s="80" t="s">
        <v>59</v>
      </c>
      <c r="C13" s="83">
        <v>0.33051550925925927</v>
      </c>
    </row>
    <row r="14" spans="1:25">
      <c r="A14" s="80" t="s">
        <v>44</v>
      </c>
      <c r="B14" s="80">
        <v>3.347</v>
      </c>
      <c r="C14" s="80"/>
    </row>
    <row r="15" spans="1:25">
      <c r="A15" s="80" t="s">
        <v>45</v>
      </c>
      <c r="B15" s="80">
        <v>0</v>
      </c>
      <c r="C15" s="80"/>
    </row>
    <row r="16" spans="1:25">
      <c r="A16" s="80" t="s">
        <v>46</v>
      </c>
      <c r="B16" s="80">
        <v>0</v>
      </c>
      <c r="C16" s="80"/>
    </row>
    <row r="17" spans="1:3">
      <c r="A17" s="80" t="s">
        <v>47</v>
      </c>
      <c r="B17" s="80">
        <v>0</v>
      </c>
      <c r="C17" s="80"/>
    </row>
    <row r="18" spans="1:3">
      <c r="A18" s="80" t="s">
        <v>48</v>
      </c>
      <c r="B18" s="80">
        <v>0</v>
      </c>
      <c r="C18" s="80"/>
    </row>
    <row r="19" spans="1:3">
      <c r="A19" s="80" t="s">
        <v>49</v>
      </c>
      <c r="B19" s="80">
        <v>0</v>
      </c>
      <c r="C19" s="80"/>
    </row>
    <row r="20" spans="1:3">
      <c r="A20" s="80" t="s">
        <v>50</v>
      </c>
      <c r="B20" s="80">
        <v>25.6</v>
      </c>
      <c r="C20" s="80"/>
    </row>
    <row r="21" spans="1:3">
      <c r="A21" s="80" t="s">
        <v>51</v>
      </c>
      <c r="B21" s="80">
        <v>5</v>
      </c>
      <c r="C21" s="80"/>
    </row>
    <row r="22" spans="1:3">
      <c r="A22" s="80" t="s">
        <v>52</v>
      </c>
      <c r="B22" s="80">
        <v>370</v>
      </c>
      <c r="C22" s="80"/>
    </row>
    <row r="23" spans="1:3">
      <c r="A23" s="80" t="s">
        <v>53</v>
      </c>
      <c r="B23" s="80">
        <v>3.3370000000000002</v>
      </c>
      <c r="C23" s="80"/>
    </row>
    <row r="24" spans="1:3">
      <c r="A24" s="80" t="s">
        <v>54</v>
      </c>
      <c r="B24" s="80">
        <v>0</v>
      </c>
      <c r="C24" s="80"/>
    </row>
    <row r="25" spans="1:3">
      <c r="A25" s="80" t="s">
        <v>55</v>
      </c>
      <c r="B25" s="80">
        <v>0</v>
      </c>
      <c r="C25" s="80"/>
    </row>
    <row r="26" spans="1:3">
      <c r="A26" s="80" t="s">
        <v>56</v>
      </c>
      <c r="B26" s="80">
        <v>0</v>
      </c>
      <c r="C26" s="80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DA76-8A4A-4143-9B1E-90422096431E}">
  <dimension ref="A1:C1679"/>
  <sheetViews>
    <sheetView topLeftCell="A1595" workbookViewId="0">
      <selection activeCell="C1595" sqref="C1595:C1679"/>
    </sheetView>
  </sheetViews>
  <sheetFormatPr defaultRowHeight="16.5"/>
  <sheetData>
    <row r="1" spans="1:1">
      <c r="A1" s="124">
        <v>181.85570000000001</v>
      </c>
    </row>
    <row r="2" spans="1:1">
      <c r="A2" s="124">
        <v>181.64250000000001</v>
      </c>
    </row>
    <row r="3" spans="1:1">
      <c r="A3" s="124">
        <v>181.1662</v>
      </c>
    </row>
    <row r="4" spans="1:1">
      <c r="A4" s="124">
        <v>181.1223</v>
      </c>
    </row>
    <row r="5" spans="1:1">
      <c r="A5" s="124">
        <v>180.63399999999999</v>
      </c>
    </row>
    <row r="6" spans="1:1">
      <c r="A6" s="124">
        <v>180.1765</v>
      </c>
    </row>
    <row r="7" spans="1:1">
      <c r="A7" s="124">
        <v>179.95740000000001</v>
      </c>
    </row>
    <row r="8" spans="1:1">
      <c r="A8" s="124">
        <v>179.61609999999999</v>
      </c>
    </row>
    <row r="9" spans="1:1">
      <c r="A9" s="124">
        <v>179.172</v>
      </c>
    </row>
    <row r="10" spans="1:1">
      <c r="A10" s="124">
        <v>178.79750000000001</v>
      </c>
    </row>
    <row r="11" spans="1:1">
      <c r="A11" s="124">
        <v>178.6686</v>
      </c>
    </row>
    <row r="12" spans="1:1">
      <c r="A12" s="124">
        <v>178.17</v>
      </c>
    </row>
    <row r="13" spans="1:1">
      <c r="A13" s="124">
        <v>177.6728</v>
      </c>
    </row>
    <row r="14" spans="1:1">
      <c r="A14" s="124">
        <v>177.54259999999999</v>
      </c>
    </row>
    <row r="15" spans="1:1">
      <c r="A15" s="124">
        <v>177.18889999999999</v>
      </c>
    </row>
    <row r="16" spans="1:1">
      <c r="A16" s="124">
        <v>176.7321</v>
      </c>
    </row>
    <row r="17" spans="1:1">
      <c r="A17" s="124">
        <v>176.2294</v>
      </c>
    </row>
    <row r="18" spans="1:1">
      <c r="A18" s="124">
        <v>176.3466</v>
      </c>
    </row>
    <row r="19" spans="1:1">
      <c r="A19" s="124">
        <v>175.727</v>
      </c>
    </row>
    <row r="20" spans="1:1">
      <c r="A20" s="124">
        <v>175.68960000000001</v>
      </c>
    </row>
    <row r="21" spans="1:1">
      <c r="A21" s="124">
        <v>175.3691</v>
      </c>
    </row>
    <row r="22" spans="1:1">
      <c r="A22" s="124">
        <v>175.21729999999999</v>
      </c>
    </row>
    <row r="23" spans="1:1">
      <c r="A23" s="124">
        <v>174.77709999999999</v>
      </c>
    </row>
    <row r="24" spans="1:1">
      <c r="A24" s="124">
        <v>174.8466</v>
      </c>
    </row>
    <row r="25" spans="1:1">
      <c r="A25" s="124">
        <v>174.42840000000001</v>
      </c>
    </row>
    <row r="26" spans="1:1">
      <c r="A26" s="124">
        <v>174.27629999999999</v>
      </c>
    </row>
    <row r="27" spans="1:1">
      <c r="A27" s="124">
        <v>173.95150000000001</v>
      </c>
    </row>
    <row r="28" spans="1:1">
      <c r="A28" s="124">
        <v>173.7944</v>
      </c>
    </row>
    <row r="29" spans="1:1">
      <c r="A29" s="124">
        <v>173.50649999999999</v>
      </c>
    </row>
    <row r="30" spans="1:1">
      <c r="A30" s="124">
        <v>173.28819999999999</v>
      </c>
    </row>
    <row r="31" spans="1:1">
      <c r="A31" s="124">
        <v>172.77590000000001</v>
      </c>
    </row>
    <row r="32" spans="1:1">
      <c r="A32" s="124">
        <v>172.5994</v>
      </c>
    </row>
    <row r="33" spans="1:1">
      <c r="A33" s="124">
        <v>172.3014</v>
      </c>
    </row>
    <row r="34" spans="1:1">
      <c r="A34" s="124">
        <v>172.01169999999999</v>
      </c>
    </row>
    <row r="35" spans="1:1">
      <c r="A35" s="124">
        <v>171.85640000000001</v>
      </c>
    </row>
    <row r="36" spans="1:1">
      <c r="A36" s="124">
        <v>171.4958</v>
      </c>
    </row>
    <row r="37" spans="1:1">
      <c r="A37" s="124">
        <v>171.39</v>
      </c>
    </row>
    <row r="38" spans="1:1">
      <c r="A38" s="124">
        <v>171.0155</v>
      </c>
    </row>
    <row r="39" spans="1:1">
      <c r="A39" s="124">
        <v>170.89660000000001</v>
      </c>
    </row>
    <row r="40" spans="1:1">
      <c r="A40" s="124">
        <v>170.5479</v>
      </c>
    </row>
    <row r="41" spans="1:1">
      <c r="A41" s="124">
        <v>170.25200000000001</v>
      </c>
    </row>
    <row r="42" spans="1:1">
      <c r="A42" s="124">
        <v>170.14490000000001</v>
      </c>
    </row>
    <row r="43" spans="1:1">
      <c r="A43" s="124">
        <v>169.73429999999999</v>
      </c>
    </row>
    <row r="44" spans="1:1">
      <c r="A44" s="124">
        <v>169.74979999999999</v>
      </c>
    </row>
    <row r="45" spans="1:1">
      <c r="A45" s="124">
        <v>169.10730000000001</v>
      </c>
    </row>
    <row r="46" spans="1:1">
      <c r="A46" s="124">
        <v>169.22</v>
      </c>
    </row>
    <row r="47" spans="1:1">
      <c r="A47" s="124">
        <v>168.8853</v>
      </c>
    </row>
    <row r="48" spans="1:1">
      <c r="A48" s="124">
        <v>168.5804</v>
      </c>
    </row>
    <row r="49" spans="1:1">
      <c r="A49" s="124">
        <v>168.3655</v>
      </c>
    </row>
    <row r="50" spans="1:1">
      <c r="A50" s="124">
        <v>168.08529999999999</v>
      </c>
    </row>
    <row r="51" spans="1:1">
      <c r="A51" s="124">
        <v>167.9485</v>
      </c>
    </row>
    <row r="52" spans="1:1">
      <c r="A52" s="124">
        <v>167.63849999999999</v>
      </c>
    </row>
    <row r="53" spans="1:1">
      <c r="A53" s="124">
        <v>167.51750000000001</v>
      </c>
    </row>
    <row r="54" spans="1:1">
      <c r="A54" s="124">
        <v>167.21870000000001</v>
      </c>
    </row>
    <row r="55" spans="1:1">
      <c r="A55" s="124">
        <v>167.17070000000001</v>
      </c>
    </row>
    <row r="56" spans="1:1">
      <c r="A56" s="124">
        <v>166.8655</v>
      </c>
    </row>
    <row r="57" spans="1:1">
      <c r="A57" s="124">
        <v>166.65530000000001</v>
      </c>
    </row>
    <row r="58" spans="1:1">
      <c r="A58" s="124">
        <v>166.4581</v>
      </c>
    </row>
    <row r="59" spans="1:1">
      <c r="A59" s="124">
        <v>166.18819999999999</v>
      </c>
    </row>
    <row r="60" spans="1:1">
      <c r="A60" s="124">
        <v>166.20930000000001</v>
      </c>
    </row>
    <row r="61" spans="1:1">
      <c r="A61" s="124">
        <v>166.0608</v>
      </c>
    </row>
    <row r="62" spans="1:1">
      <c r="A62" s="124">
        <v>165.7063</v>
      </c>
    </row>
    <row r="63" spans="1:1">
      <c r="A63" s="124">
        <v>165.6825</v>
      </c>
    </row>
    <row r="64" spans="1:1">
      <c r="A64" s="124">
        <v>165.3603</v>
      </c>
    </row>
    <row r="65" spans="1:1">
      <c r="A65" s="124">
        <v>165.23840000000001</v>
      </c>
    </row>
    <row r="66" spans="1:1">
      <c r="A66" s="124">
        <v>164.90539999999999</v>
      </c>
    </row>
    <row r="67" spans="1:1">
      <c r="A67" s="124">
        <v>164.7901</v>
      </c>
    </row>
    <row r="68" spans="1:1">
      <c r="A68" s="124">
        <v>164.351</v>
      </c>
    </row>
    <row r="69" spans="1:1">
      <c r="A69" s="124">
        <v>164.25839999999999</v>
      </c>
    </row>
    <row r="70" spans="1:1">
      <c r="A70" s="124">
        <v>163.81360000000001</v>
      </c>
    </row>
    <row r="71" spans="1:1">
      <c r="A71" s="124">
        <v>163.6925</v>
      </c>
    </row>
    <row r="72" spans="1:1">
      <c r="A72" s="124">
        <v>163.3656</v>
      </c>
    </row>
    <row r="73" spans="1:1">
      <c r="A73" s="124">
        <v>162.9299</v>
      </c>
    </row>
    <row r="74" spans="1:1">
      <c r="A74" s="124">
        <v>162.6302</v>
      </c>
    </row>
    <row r="75" spans="1:1">
      <c r="A75" s="124">
        <v>162.4855</v>
      </c>
    </row>
    <row r="76" spans="1:1">
      <c r="A76" s="124">
        <v>162.3022</v>
      </c>
    </row>
    <row r="77" spans="1:1">
      <c r="A77" s="124">
        <v>162.17779999999999</v>
      </c>
    </row>
    <row r="78" spans="1:1">
      <c r="A78" s="124">
        <v>162.04060000000001</v>
      </c>
    </row>
    <row r="79" spans="1:1">
      <c r="A79" s="124">
        <v>161.624</v>
      </c>
    </row>
    <row r="80" spans="1:1">
      <c r="A80" s="124">
        <v>161.54069999999999</v>
      </c>
    </row>
    <row r="81" spans="1:1">
      <c r="A81" s="124">
        <v>161.5925</v>
      </c>
    </row>
    <row r="82" spans="1:1">
      <c r="A82" s="124">
        <v>161.0446</v>
      </c>
    </row>
    <row r="83" spans="1:1">
      <c r="A83" s="124">
        <v>161.11920000000001</v>
      </c>
    </row>
    <row r="84" spans="1:1">
      <c r="A84" s="124">
        <v>160.71700000000001</v>
      </c>
    </row>
    <row r="85" spans="1:1">
      <c r="A85" s="124">
        <v>160.51939999999999</v>
      </c>
    </row>
    <row r="86" spans="1:1">
      <c r="A86" s="124">
        <v>160.39680000000001</v>
      </c>
    </row>
    <row r="87" spans="1:1">
      <c r="A87" s="124">
        <v>160.12860000000001</v>
      </c>
    </row>
    <row r="88" spans="1:1">
      <c r="A88" s="124">
        <v>160.04</v>
      </c>
    </row>
    <row r="89" spans="1:1">
      <c r="A89" s="124">
        <v>159.6986</v>
      </c>
    </row>
    <row r="90" spans="1:1">
      <c r="A90" s="124">
        <v>159.5231</v>
      </c>
    </row>
    <row r="91" spans="1:1">
      <c r="A91" s="124">
        <v>159.25640000000001</v>
      </c>
    </row>
    <row r="92" spans="1:1">
      <c r="A92" s="124">
        <v>158.98339999999999</v>
      </c>
    </row>
    <row r="93" spans="1:1">
      <c r="A93" s="124">
        <v>159.09</v>
      </c>
    </row>
    <row r="94" spans="1:1">
      <c r="A94" s="124">
        <v>158.9187</v>
      </c>
    </row>
    <row r="95" spans="1:1">
      <c r="A95" s="124">
        <v>158.53970000000001</v>
      </c>
    </row>
    <row r="96" spans="1:1">
      <c r="A96" s="124">
        <v>158.5505</v>
      </c>
    </row>
    <row r="97" spans="1:1">
      <c r="A97" s="124">
        <v>158.33869999999999</v>
      </c>
    </row>
    <row r="98" spans="1:1">
      <c r="A98" s="124">
        <v>158.0463</v>
      </c>
    </row>
    <row r="99" spans="1:1">
      <c r="A99" s="124">
        <v>158.1696</v>
      </c>
    </row>
    <row r="100" spans="1:1">
      <c r="A100" s="124">
        <v>157.68459999999999</v>
      </c>
    </row>
    <row r="101" spans="1:1">
      <c r="A101" s="124">
        <v>157.5479</v>
      </c>
    </row>
    <row r="102" spans="1:1">
      <c r="A102" s="124">
        <v>157.49359999999999</v>
      </c>
    </row>
    <row r="103" spans="1:1">
      <c r="A103" s="124">
        <v>157.27979999999999</v>
      </c>
    </row>
    <row r="104" spans="1:1">
      <c r="A104" s="124">
        <v>157.1035</v>
      </c>
    </row>
    <row r="105" spans="1:1">
      <c r="A105" s="124">
        <v>156.83070000000001</v>
      </c>
    </row>
    <row r="106" spans="1:1">
      <c r="A106" s="124">
        <v>156.6463</v>
      </c>
    </row>
    <row r="107" spans="1:1">
      <c r="A107" s="124">
        <v>156.6765</v>
      </c>
    </row>
    <row r="108" spans="1:1">
      <c r="A108" s="124">
        <v>156.4948</v>
      </c>
    </row>
    <row r="109" spans="1:1">
      <c r="A109" s="124">
        <v>156.17699999999999</v>
      </c>
    </row>
    <row r="110" spans="1:1">
      <c r="A110" s="124">
        <v>156.221</v>
      </c>
    </row>
    <row r="111" spans="1:1">
      <c r="A111" s="124">
        <v>155.82939999999999</v>
      </c>
    </row>
    <row r="112" spans="1:1">
      <c r="A112" s="124">
        <v>155.7148</v>
      </c>
    </row>
    <row r="113" spans="1:1">
      <c r="A113" s="124">
        <v>155.51300000000001</v>
      </c>
    </row>
    <row r="114" spans="1:1">
      <c r="A114" s="124">
        <v>155.26599999999999</v>
      </c>
    </row>
    <row r="115" spans="1:1">
      <c r="A115" s="124">
        <v>154.94540000000001</v>
      </c>
    </row>
    <row r="116" spans="1:1">
      <c r="A116" s="124">
        <v>154.7337</v>
      </c>
    </row>
    <row r="117" spans="1:1">
      <c r="A117" s="124">
        <v>154.68770000000001</v>
      </c>
    </row>
    <row r="118" spans="1:1">
      <c r="A118" s="124">
        <v>154.2672</v>
      </c>
    </row>
    <row r="119" spans="1:1">
      <c r="A119" s="124">
        <v>153.8638</v>
      </c>
    </row>
    <row r="120" spans="1:1">
      <c r="A120" s="124">
        <v>153.79230000000001</v>
      </c>
    </row>
    <row r="121" spans="1:1">
      <c r="A121" s="124">
        <v>153.6318</v>
      </c>
    </row>
    <row r="122" spans="1:1">
      <c r="A122" s="124">
        <v>153.28059999999999</v>
      </c>
    </row>
    <row r="123" spans="1:1">
      <c r="A123" s="124">
        <v>153.3562</v>
      </c>
    </row>
    <row r="124" spans="1:1">
      <c r="A124" s="124">
        <v>153.07980000000001</v>
      </c>
    </row>
    <row r="125" spans="1:1">
      <c r="A125" s="124">
        <v>152.8013</v>
      </c>
    </row>
    <row r="126" spans="1:1">
      <c r="A126" s="124">
        <v>152.93279999999999</v>
      </c>
    </row>
    <row r="127" spans="1:1">
      <c r="A127" s="124">
        <v>152.68899999999999</v>
      </c>
    </row>
    <row r="128" spans="1:1">
      <c r="A128" s="124">
        <v>152.47649999999999</v>
      </c>
    </row>
    <row r="129" spans="1:1">
      <c r="A129" s="124">
        <v>152.32040000000001</v>
      </c>
    </row>
    <row r="130" spans="1:1">
      <c r="A130" s="124">
        <v>152.25399999999999</v>
      </c>
    </row>
    <row r="131" spans="1:1">
      <c r="A131" s="124">
        <v>151.86510000000001</v>
      </c>
    </row>
    <row r="132" spans="1:1">
      <c r="A132" s="124">
        <v>151.6917</v>
      </c>
    </row>
    <row r="133" spans="1:1">
      <c r="A133" s="124">
        <v>151.74940000000001</v>
      </c>
    </row>
    <row r="134" spans="1:1">
      <c r="A134" s="124">
        <v>151.3673</v>
      </c>
    </row>
    <row r="135" spans="1:1">
      <c r="A135" s="124">
        <v>151.26920000000001</v>
      </c>
    </row>
    <row r="136" spans="1:1">
      <c r="A136" s="124">
        <v>150.94479999999999</v>
      </c>
    </row>
    <row r="137" spans="1:1">
      <c r="A137" s="124">
        <v>150.9136</v>
      </c>
    </row>
    <row r="138" spans="1:1">
      <c r="A138" s="124">
        <v>150.83600000000001</v>
      </c>
    </row>
    <row r="139" spans="1:1">
      <c r="A139" s="124">
        <v>150.6842</v>
      </c>
    </row>
    <row r="140" spans="1:1">
      <c r="A140" s="124">
        <v>150.46799999999999</v>
      </c>
    </row>
    <row r="141" spans="1:1">
      <c r="A141" s="124">
        <v>150.2987</v>
      </c>
    </row>
    <row r="142" spans="1:1">
      <c r="A142" s="124">
        <v>149.9588</v>
      </c>
    </row>
    <row r="143" spans="1:1">
      <c r="A143" s="124">
        <v>149.9633</v>
      </c>
    </row>
    <row r="144" spans="1:1">
      <c r="A144" s="124">
        <v>149.79429999999999</v>
      </c>
    </row>
    <row r="145" spans="1:1">
      <c r="A145" s="124">
        <v>149.578</v>
      </c>
    </row>
    <row r="146" spans="1:1">
      <c r="A146" s="124">
        <v>149.47210000000001</v>
      </c>
    </row>
    <row r="147" spans="1:1">
      <c r="A147" s="124">
        <v>149.22309999999999</v>
      </c>
    </row>
    <row r="148" spans="1:1">
      <c r="A148" s="124">
        <v>149.00120000000001</v>
      </c>
    </row>
    <row r="149" spans="1:1">
      <c r="A149" s="124">
        <v>149.00299999999999</v>
      </c>
    </row>
    <row r="150" spans="1:1">
      <c r="A150" s="124">
        <v>148.9667</v>
      </c>
    </row>
    <row r="151" spans="1:1">
      <c r="A151" s="124">
        <v>148.6103</v>
      </c>
    </row>
    <row r="152" spans="1:1">
      <c r="A152" s="124">
        <v>148.44589999999999</v>
      </c>
    </row>
    <row r="153" spans="1:1">
      <c r="A153" s="124">
        <v>148.2243</v>
      </c>
    </row>
    <row r="154" spans="1:1">
      <c r="A154" s="124">
        <v>148.07429999999999</v>
      </c>
    </row>
    <row r="155" spans="1:1">
      <c r="A155" s="124">
        <v>147.9051</v>
      </c>
    </row>
    <row r="156" spans="1:1">
      <c r="A156" s="124">
        <v>147.76300000000001</v>
      </c>
    </row>
    <row r="157" spans="1:1">
      <c r="A157" s="124">
        <v>147.7011</v>
      </c>
    </row>
    <row r="158" spans="1:1">
      <c r="A158" s="124">
        <v>147.42359999999999</v>
      </c>
    </row>
    <row r="159" spans="1:1">
      <c r="A159" s="124">
        <v>147.36750000000001</v>
      </c>
    </row>
    <row r="160" spans="1:1">
      <c r="A160" s="124">
        <v>147.22819999999999</v>
      </c>
    </row>
    <row r="161" spans="1:1">
      <c r="A161" s="124">
        <v>146.97579999999999</v>
      </c>
    </row>
    <row r="162" spans="1:1">
      <c r="A162" s="124">
        <v>146.9562</v>
      </c>
    </row>
    <row r="163" spans="1:1">
      <c r="A163" s="124">
        <v>146.7842</v>
      </c>
    </row>
    <row r="164" spans="1:1">
      <c r="A164" s="124">
        <v>146.52019999999999</v>
      </c>
    </row>
    <row r="165" spans="1:1">
      <c r="A165" s="124">
        <v>146.43109999999999</v>
      </c>
    </row>
    <row r="166" spans="1:1">
      <c r="A166" s="124">
        <v>146.05969999999999</v>
      </c>
    </row>
    <row r="167" spans="1:1">
      <c r="A167" s="124">
        <v>145.7704</v>
      </c>
    </row>
    <row r="168" spans="1:1">
      <c r="A168" s="124">
        <v>145.60759999999999</v>
      </c>
    </row>
    <row r="169" spans="1:1">
      <c r="A169" s="124">
        <v>145.4768</v>
      </c>
    </row>
    <row r="170" spans="1:1">
      <c r="A170" s="124">
        <v>145.40219999999999</v>
      </c>
    </row>
    <row r="171" spans="1:1">
      <c r="A171" s="124">
        <v>145.1292</v>
      </c>
    </row>
    <row r="172" spans="1:1">
      <c r="A172" s="124">
        <v>145.01910000000001</v>
      </c>
    </row>
    <row r="173" spans="1:1">
      <c r="A173" s="124">
        <v>144.99799999999999</v>
      </c>
    </row>
    <row r="174" spans="1:1">
      <c r="A174" s="124">
        <v>144.69319999999999</v>
      </c>
    </row>
    <row r="175" spans="1:1">
      <c r="A175" s="124">
        <v>144.53809999999999</v>
      </c>
    </row>
    <row r="176" spans="1:1">
      <c r="A176" s="124">
        <v>144.25069999999999</v>
      </c>
    </row>
    <row r="177" spans="1:1">
      <c r="A177" s="124">
        <v>144.08080000000001</v>
      </c>
    </row>
    <row r="178" spans="1:1">
      <c r="A178" s="124">
        <v>143.8296</v>
      </c>
    </row>
    <row r="179" spans="1:1">
      <c r="A179" s="124">
        <v>143.8115</v>
      </c>
    </row>
    <row r="180" spans="1:1">
      <c r="A180" s="124">
        <v>143.48390000000001</v>
      </c>
    </row>
    <row r="181" spans="1:1">
      <c r="A181" s="124">
        <v>143.5924</v>
      </c>
    </row>
    <row r="182" spans="1:1">
      <c r="A182" s="124">
        <v>143.26689999999999</v>
      </c>
    </row>
    <row r="183" spans="1:1">
      <c r="A183" s="124">
        <v>143.34649999999999</v>
      </c>
    </row>
    <row r="184" spans="1:1">
      <c r="A184" s="124">
        <v>143.04230000000001</v>
      </c>
    </row>
    <row r="185" spans="1:1">
      <c r="A185" s="124">
        <v>142.7413</v>
      </c>
    </row>
    <row r="186" spans="1:1">
      <c r="A186" s="124">
        <v>142.74930000000001</v>
      </c>
    </row>
    <row r="187" spans="1:1">
      <c r="A187" s="124">
        <v>142.57310000000001</v>
      </c>
    </row>
    <row r="188" spans="1:1">
      <c r="A188" s="124">
        <v>142.23140000000001</v>
      </c>
    </row>
    <row r="189" spans="1:1">
      <c r="A189" s="124">
        <v>142.2329</v>
      </c>
    </row>
    <row r="190" spans="1:1">
      <c r="A190" s="124">
        <v>141.95060000000001</v>
      </c>
    </row>
    <row r="191" spans="1:1">
      <c r="A191" s="124">
        <v>141.7611</v>
      </c>
    </row>
    <row r="192" spans="1:1">
      <c r="A192" s="124">
        <v>141.70699999999999</v>
      </c>
    </row>
    <row r="193" spans="1:1">
      <c r="A193" s="124">
        <v>141.4023</v>
      </c>
    </row>
    <row r="194" spans="1:1">
      <c r="A194" s="124">
        <v>141.31049999999999</v>
      </c>
    </row>
    <row r="195" spans="1:1">
      <c r="A195" s="124">
        <v>141.261</v>
      </c>
    </row>
    <row r="196" spans="1:1">
      <c r="A196" s="124">
        <v>140.7869</v>
      </c>
    </row>
    <row r="197" spans="1:1">
      <c r="A197" s="124">
        <v>140.72970000000001</v>
      </c>
    </row>
    <row r="198" spans="1:1">
      <c r="A198" s="124">
        <v>140.42939999999999</v>
      </c>
    </row>
    <row r="199" spans="1:1">
      <c r="A199" s="124">
        <v>140.31559999999999</v>
      </c>
    </row>
    <row r="200" spans="1:1">
      <c r="A200" s="124">
        <v>140.31569999999999</v>
      </c>
    </row>
    <row r="201" spans="1:1">
      <c r="A201" s="124">
        <v>140.2799</v>
      </c>
    </row>
    <row r="202" spans="1:1">
      <c r="A202" s="124">
        <v>140.04079999999999</v>
      </c>
    </row>
    <row r="203" spans="1:1">
      <c r="A203" s="124">
        <v>139.73390000000001</v>
      </c>
    </row>
    <row r="204" spans="1:1">
      <c r="A204" s="124">
        <v>139.75970000000001</v>
      </c>
    </row>
    <row r="205" spans="1:1">
      <c r="A205" s="124">
        <v>139.50530000000001</v>
      </c>
    </row>
    <row r="206" spans="1:1">
      <c r="A206" s="124">
        <v>139.2826</v>
      </c>
    </row>
    <row r="207" spans="1:1">
      <c r="A207" s="124">
        <v>139.37260000000001</v>
      </c>
    </row>
    <row r="208" spans="1:1">
      <c r="A208" s="124">
        <v>139.13730000000001</v>
      </c>
    </row>
    <row r="209" spans="1:1">
      <c r="A209" s="124">
        <v>138.93809999999999</v>
      </c>
    </row>
    <row r="210" spans="1:1">
      <c r="A210" s="124">
        <v>138.79249999999999</v>
      </c>
    </row>
    <row r="211" spans="1:1">
      <c r="A211" s="124">
        <v>138.74639999999999</v>
      </c>
    </row>
    <row r="212" spans="1:1">
      <c r="A212" s="124">
        <v>138.62639999999999</v>
      </c>
    </row>
    <row r="213" spans="1:1">
      <c r="A213" s="124">
        <v>138.46340000000001</v>
      </c>
    </row>
    <row r="214" spans="1:1">
      <c r="A214" s="124">
        <v>138.33109999999999</v>
      </c>
    </row>
    <row r="215" spans="1:1">
      <c r="A215" s="124">
        <v>138.27379999999999</v>
      </c>
    </row>
    <row r="216" spans="1:1">
      <c r="A216" s="124">
        <v>137.85509999999999</v>
      </c>
    </row>
    <row r="217" spans="1:1">
      <c r="A217" s="124">
        <v>137.65530000000001</v>
      </c>
    </row>
    <row r="218" spans="1:1">
      <c r="A218" s="124">
        <v>137.63509999999999</v>
      </c>
    </row>
    <row r="219" spans="1:1">
      <c r="A219" s="124">
        <v>137.34520000000001</v>
      </c>
    </row>
    <row r="220" spans="1:1">
      <c r="A220" s="124">
        <v>137.4581</v>
      </c>
    </row>
    <row r="221" spans="1:1">
      <c r="A221" s="124">
        <v>137.0684</v>
      </c>
    </row>
    <row r="222" spans="1:1">
      <c r="A222" s="124">
        <v>136.82919999999999</v>
      </c>
    </row>
    <row r="223" spans="1:1">
      <c r="A223" s="124">
        <v>136.7773</v>
      </c>
    </row>
    <row r="224" spans="1:1">
      <c r="A224" s="124">
        <v>136.78039999999999</v>
      </c>
    </row>
    <row r="225" spans="1:1">
      <c r="A225" s="124">
        <v>136.59960000000001</v>
      </c>
    </row>
    <row r="226" spans="1:1">
      <c r="A226" s="124">
        <v>136.31059999999999</v>
      </c>
    </row>
    <row r="227" spans="1:1">
      <c r="A227" s="124">
        <v>136.4136</v>
      </c>
    </row>
    <row r="228" spans="1:1">
      <c r="A228" s="124">
        <v>136.16229999999999</v>
      </c>
    </row>
    <row r="229" spans="1:1">
      <c r="A229" s="124">
        <v>135.87110000000001</v>
      </c>
    </row>
    <row r="230" spans="1:1">
      <c r="A230" s="124">
        <v>135.97280000000001</v>
      </c>
    </row>
    <row r="231" spans="1:1">
      <c r="A231" s="124">
        <v>135.78049999999999</v>
      </c>
    </row>
    <row r="232" spans="1:1">
      <c r="A232" s="124">
        <v>135.6104</v>
      </c>
    </row>
    <row r="233" spans="1:1">
      <c r="A233" s="124">
        <v>135.37909999999999</v>
      </c>
    </row>
    <row r="234" spans="1:1">
      <c r="A234" s="124">
        <v>135.1157</v>
      </c>
    </row>
    <row r="235" spans="1:1">
      <c r="A235" s="124">
        <v>135.16569999999999</v>
      </c>
    </row>
    <row r="236" spans="1:1">
      <c r="A236" s="124">
        <v>134.92959999999999</v>
      </c>
    </row>
    <row r="237" spans="1:1">
      <c r="A237" s="124">
        <v>134.8723</v>
      </c>
    </row>
    <row r="238" spans="1:1">
      <c r="A238" s="124">
        <v>134.64359999999999</v>
      </c>
    </row>
    <row r="239" spans="1:1">
      <c r="A239" s="124">
        <v>134.43360000000001</v>
      </c>
    </row>
    <row r="240" spans="1:1">
      <c r="A240" s="124">
        <v>134.42769999999999</v>
      </c>
    </row>
    <row r="241" spans="1:1">
      <c r="A241" s="124">
        <v>134.2834</v>
      </c>
    </row>
    <row r="242" spans="1:1">
      <c r="A242" s="124">
        <v>133.89830000000001</v>
      </c>
    </row>
    <row r="243" spans="1:1">
      <c r="A243" s="124">
        <v>134.03039999999999</v>
      </c>
    </row>
    <row r="244" spans="1:1">
      <c r="A244" s="124">
        <v>133.84620000000001</v>
      </c>
    </row>
    <row r="245" spans="1:1">
      <c r="A245" s="124">
        <v>133.61840000000001</v>
      </c>
    </row>
    <row r="246" spans="1:1">
      <c r="A246" s="124">
        <v>133.44669999999999</v>
      </c>
    </row>
    <row r="247" spans="1:1">
      <c r="A247" s="124">
        <v>133.45590000000001</v>
      </c>
    </row>
    <row r="248" spans="1:1">
      <c r="A248" s="124">
        <v>133.24799999999999</v>
      </c>
    </row>
    <row r="249" spans="1:1">
      <c r="A249" s="124">
        <v>133.00620000000001</v>
      </c>
    </row>
    <row r="250" spans="1:1">
      <c r="A250" s="124">
        <v>132.88069999999999</v>
      </c>
    </row>
    <row r="251" spans="1:1">
      <c r="A251" s="124">
        <v>132.69329999999999</v>
      </c>
    </row>
    <row r="252" spans="1:1">
      <c r="A252" s="124">
        <v>132.49</v>
      </c>
    </row>
    <row r="253" spans="1:1">
      <c r="A253" s="124">
        <v>132.3888</v>
      </c>
    </row>
    <row r="254" spans="1:1">
      <c r="A254" s="124">
        <v>132.4538</v>
      </c>
    </row>
    <row r="255" spans="1:1">
      <c r="A255" s="124">
        <v>132.1046</v>
      </c>
    </row>
    <row r="256" spans="1:1">
      <c r="A256" s="124">
        <v>132.0506</v>
      </c>
    </row>
    <row r="257" spans="1:1">
      <c r="A257" s="124">
        <v>132.0437</v>
      </c>
    </row>
    <row r="258" spans="1:1">
      <c r="A258" s="124">
        <v>131.5754</v>
      </c>
    </row>
    <row r="259" spans="1:1">
      <c r="A259" s="124">
        <v>131.5171</v>
      </c>
    </row>
    <row r="260" spans="1:1">
      <c r="A260" s="124">
        <v>131.2799</v>
      </c>
    </row>
    <row r="261" spans="1:1">
      <c r="A261" s="124">
        <v>131.28059999999999</v>
      </c>
    </row>
    <row r="262" spans="1:1">
      <c r="A262" s="124">
        <v>131.08670000000001</v>
      </c>
    </row>
    <row r="263" spans="1:1">
      <c r="A263" s="124">
        <v>130.86269999999999</v>
      </c>
    </row>
    <row r="264" spans="1:1">
      <c r="A264" s="124">
        <v>130.82470000000001</v>
      </c>
    </row>
    <row r="265" spans="1:1">
      <c r="A265" s="124">
        <v>130.64789999999999</v>
      </c>
    </row>
    <row r="266" spans="1:1">
      <c r="A266" s="124">
        <v>130.5615</v>
      </c>
    </row>
    <row r="267" spans="1:1">
      <c r="A267" s="124">
        <v>130.4957</v>
      </c>
    </row>
    <row r="268" spans="1:1">
      <c r="A268" s="124">
        <v>130.1814</v>
      </c>
    </row>
    <row r="269" spans="1:1">
      <c r="A269" s="124">
        <v>130.20419999999999</v>
      </c>
    </row>
    <row r="270" spans="1:1">
      <c r="A270" s="124">
        <v>129.81729999999999</v>
      </c>
    </row>
    <row r="271" spans="1:1">
      <c r="A271" s="124">
        <v>129.94460000000001</v>
      </c>
    </row>
    <row r="272" spans="1:1">
      <c r="A272" s="124">
        <v>129.71709999999999</v>
      </c>
    </row>
    <row r="273" spans="1:1">
      <c r="A273" s="124">
        <v>129.67070000000001</v>
      </c>
    </row>
    <row r="274" spans="1:1">
      <c r="A274" s="124">
        <v>129.37970000000001</v>
      </c>
    </row>
    <row r="275" spans="1:1">
      <c r="A275" s="124">
        <v>129.23990000000001</v>
      </c>
    </row>
    <row r="276" spans="1:1">
      <c r="A276" s="124">
        <v>129.2099</v>
      </c>
    </row>
    <row r="277" spans="1:1">
      <c r="A277" s="124">
        <v>129.06620000000001</v>
      </c>
    </row>
    <row r="278" spans="1:1">
      <c r="A278" s="124">
        <v>128.86600000000001</v>
      </c>
    </row>
    <row r="279" spans="1:1">
      <c r="A279" s="124">
        <v>128.69800000000001</v>
      </c>
    </row>
    <row r="280" spans="1:1">
      <c r="A280" s="124">
        <v>128.7868</v>
      </c>
    </row>
    <row r="281" spans="1:1">
      <c r="A281" s="124">
        <v>128.43360000000001</v>
      </c>
    </row>
    <row r="282" spans="1:1">
      <c r="A282" s="124">
        <v>128.251</v>
      </c>
    </row>
    <row r="283" spans="1:1">
      <c r="A283" s="124">
        <v>128.2962</v>
      </c>
    </row>
    <row r="284" spans="1:1">
      <c r="A284" s="124">
        <v>128.21279999999999</v>
      </c>
    </row>
    <row r="285" spans="1:1">
      <c r="A285" s="124">
        <v>127.8883</v>
      </c>
    </row>
    <row r="286" spans="1:1">
      <c r="A286" s="124">
        <v>127.75709999999999</v>
      </c>
    </row>
    <row r="287" spans="1:1">
      <c r="A287" s="124">
        <v>127.4986</v>
      </c>
    </row>
    <row r="288" spans="1:1">
      <c r="A288" s="124">
        <v>127.3865</v>
      </c>
    </row>
    <row r="289" spans="1:1">
      <c r="A289" s="124">
        <v>127.31440000000001</v>
      </c>
    </row>
    <row r="290" spans="1:1">
      <c r="A290" s="124">
        <v>127.148</v>
      </c>
    </row>
    <row r="291" spans="1:1">
      <c r="A291" s="124">
        <v>127.0029</v>
      </c>
    </row>
    <row r="292" spans="1:1">
      <c r="A292" s="124">
        <v>126.8563</v>
      </c>
    </row>
    <row r="293" spans="1:1">
      <c r="A293" s="124">
        <v>126.72</v>
      </c>
    </row>
    <row r="294" spans="1:1">
      <c r="A294" s="124">
        <v>126.6378</v>
      </c>
    </row>
    <row r="295" spans="1:1">
      <c r="A295" s="124">
        <v>126.41240000000001</v>
      </c>
    </row>
    <row r="296" spans="1:1">
      <c r="A296" s="124">
        <v>126.6229</v>
      </c>
    </row>
    <row r="297" spans="1:1">
      <c r="A297" s="124">
        <v>126.2654</v>
      </c>
    </row>
    <row r="298" spans="1:1">
      <c r="A298" s="124">
        <v>126.2676</v>
      </c>
    </row>
    <row r="299" spans="1:1">
      <c r="A299" s="124">
        <v>125.9538</v>
      </c>
    </row>
    <row r="300" spans="1:1">
      <c r="A300" s="124">
        <v>125.8068</v>
      </c>
    </row>
    <row r="301" spans="1:1">
      <c r="A301" s="124">
        <v>125.6815</v>
      </c>
    </row>
    <row r="302" spans="1:1">
      <c r="A302" s="124">
        <v>125.4204</v>
      </c>
    </row>
    <row r="303" spans="1:1">
      <c r="A303" s="124">
        <v>125.2193</v>
      </c>
    </row>
    <row r="304" spans="1:1">
      <c r="A304" s="124">
        <v>125.12050000000001</v>
      </c>
    </row>
    <row r="305" spans="1:1">
      <c r="A305" s="124">
        <v>124.9547</v>
      </c>
    </row>
    <row r="306" spans="1:1">
      <c r="A306" s="124">
        <v>125.08110000000001</v>
      </c>
    </row>
    <row r="307" spans="1:1">
      <c r="A307" s="124">
        <v>124.8552</v>
      </c>
    </row>
    <row r="308" spans="1:1">
      <c r="A308" s="124">
        <v>124.7287</v>
      </c>
    </row>
    <row r="309" spans="1:1">
      <c r="A309" s="124">
        <v>124.49039999999999</v>
      </c>
    </row>
    <row r="310" spans="1:1">
      <c r="A310" s="124">
        <v>124.413</v>
      </c>
    </row>
    <row r="311" spans="1:1">
      <c r="A311" s="124">
        <v>124.1451</v>
      </c>
    </row>
    <row r="312" spans="1:1">
      <c r="A312" s="124">
        <v>124.0239</v>
      </c>
    </row>
    <row r="313" spans="1:1">
      <c r="A313" s="124">
        <v>124.07389999999999</v>
      </c>
    </row>
    <row r="314" spans="1:1">
      <c r="A314" s="124">
        <v>123.76220000000001</v>
      </c>
    </row>
    <row r="315" spans="1:1">
      <c r="A315" s="124">
        <v>123.636</v>
      </c>
    </row>
    <row r="316" spans="1:1">
      <c r="A316" s="124">
        <v>123.5556</v>
      </c>
    </row>
    <row r="317" spans="1:1">
      <c r="A317" s="124">
        <v>123.3224</v>
      </c>
    </row>
    <row r="318" spans="1:1">
      <c r="A318" s="124">
        <v>123.1157</v>
      </c>
    </row>
    <row r="319" spans="1:1">
      <c r="A319" s="124">
        <v>123.28019999999999</v>
      </c>
    </row>
    <row r="320" spans="1:1">
      <c r="A320" s="124">
        <v>122.9842</v>
      </c>
    </row>
    <row r="321" spans="1:1">
      <c r="A321" s="124">
        <v>122.9312</v>
      </c>
    </row>
    <row r="322" spans="1:1">
      <c r="A322" s="124">
        <v>122.7529</v>
      </c>
    </row>
    <row r="323" spans="1:1">
      <c r="A323" s="124">
        <v>122.67059999999999</v>
      </c>
    </row>
    <row r="324" spans="1:1">
      <c r="A324" s="124">
        <v>122.5261</v>
      </c>
    </row>
    <row r="325" spans="1:1">
      <c r="A325" s="124">
        <v>122.518</v>
      </c>
    </row>
    <row r="326" spans="1:1">
      <c r="A326" s="124">
        <v>122.227</v>
      </c>
    </row>
    <row r="327" spans="1:1">
      <c r="A327" s="124">
        <v>122.0857</v>
      </c>
    </row>
    <row r="328" spans="1:1">
      <c r="A328" s="124">
        <v>121.9088</v>
      </c>
    </row>
    <row r="329" spans="1:1">
      <c r="A329" s="124">
        <v>121.6571</v>
      </c>
    </row>
    <row r="330" spans="1:1">
      <c r="A330" s="124">
        <v>121.7141</v>
      </c>
    </row>
    <row r="331" spans="1:1">
      <c r="A331" s="124">
        <v>121.248</v>
      </c>
    </row>
    <row r="332" spans="1:1">
      <c r="A332" s="124">
        <v>121.16030000000001</v>
      </c>
    </row>
    <row r="333" spans="1:1">
      <c r="A333" s="124">
        <v>121.2276</v>
      </c>
    </row>
    <row r="334" spans="1:1">
      <c r="A334" s="124">
        <v>120.9712</v>
      </c>
    </row>
    <row r="335" spans="1:1">
      <c r="A335" s="124">
        <v>120.8807</v>
      </c>
    </row>
    <row r="336" spans="1:1">
      <c r="A336" s="124">
        <v>120.70829999999999</v>
      </c>
    </row>
    <row r="337" spans="1:1">
      <c r="A337" s="124">
        <v>120.7597</v>
      </c>
    </row>
    <row r="338" spans="1:1">
      <c r="A338" s="124">
        <v>120.4579</v>
      </c>
    </row>
    <row r="339" spans="1:1">
      <c r="A339" s="124">
        <v>120.49209999999999</v>
      </c>
    </row>
    <row r="340" spans="1:1">
      <c r="A340" s="124">
        <v>120.4117</v>
      </c>
    </row>
    <row r="341" spans="1:1">
      <c r="A341" s="124">
        <v>120.2424</v>
      </c>
    </row>
    <row r="342" spans="1:1">
      <c r="A342" s="124">
        <v>119.9241</v>
      </c>
    </row>
    <row r="343" spans="1:1">
      <c r="A343" s="124">
        <v>119.82859999999999</v>
      </c>
    </row>
    <row r="344" spans="1:1">
      <c r="A344" s="124">
        <v>119.7967</v>
      </c>
    </row>
    <row r="345" spans="1:1">
      <c r="A345" s="124">
        <v>119.7594</v>
      </c>
    </row>
    <row r="346" spans="1:1">
      <c r="A346" s="124">
        <v>119.3231</v>
      </c>
    </row>
    <row r="347" spans="1:1">
      <c r="A347" s="124">
        <v>119.3592</v>
      </c>
    </row>
    <row r="348" spans="1:1">
      <c r="A348" s="124">
        <v>119.41759999999999</v>
      </c>
    </row>
    <row r="349" spans="1:1">
      <c r="A349" s="124">
        <v>118.86660000000001</v>
      </c>
    </row>
    <row r="350" spans="1:1">
      <c r="A350" s="124">
        <v>119.0239</v>
      </c>
    </row>
    <row r="351" spans="1:1">
      <c r="A351" s="124">
        <v>119.12269999999999</v>
      </c>
    </row>
    <row r="352" spans="1:1">
      <c r="A352" s="124">
        <v>118.86450000000001</v>
      </c>
    </row>
    <row r="353" spans="1:1">
      <c r="A353" s="124">
        <v>118.715</v>
      </c>
    </row>
    <row r="354" spans="1:1">
      <c r="A354" s="124">
        <v>118.5184</v>
      </c>
    </row>
    <row r="355" spans="1:1">
      <c r="A355" s="124">
        <v>118.38809999999999</v>
      </c>
    </row>
    <row r="356" spans="1:1">
      <c r="A356" s="124">
        <v>118.43980000000001</v>
      </c>
    </row>
    <row r="357" spans="1:1">
      <c r="A357" s="124">
        <v>117.9452</v>
      </c>
    </row>
    <row r="358" spans="1:1">
      <c r="A358" s="124">
        <v>117.949</v>
      </c>
    </row>
    <row r="359" spans="1:1">
      <c r="A359" s="124">
        <v>117.736</v>
      </c>
    </row>
    <row r="360" spans="1:1">
      <c r="A360" s="124">
        <v>117.4949</v>
      </c>
    </row>
    <row r="361" spans="1:1">
      <c r="A361" s="124">
        <v>117.3689</v>
      </c>
    </row>
    <row r="362" spans="1:1">
      <c r="A362" s="124">
        <v>117.41719999999999</v>
      </c>
    </row>
    <row r="363" spans="1:1">
      <c r="A363" s="124">
        <v>117.2137</v>
      </c>
    </row>
    <row r="364" spans="1:1">
      <c r="A364" s="124">
        <v>117.0419</v>
      </c>
    </row>
    <row r="365" spans="1:1">
      <c r="A365" s="124">
        <v>117.1011</v>
      </c>
    </row>
    <row r="366" spans="1:1">
      <c r="A366" s="124">
        <v>116.7226</v>
      </c>
    </row>
    <row r="367" spans="1:1">
      <c r="A367" s="124">
        <v>116.6049</v>
      </c>
    </row>
    <row r="368" spans="1:1">
      <c r="A368" s="124">
        <v>116.73180000000001</v>
      </c>
    </row>
    <row r="369" spans="1:1">
      <c r="A369" s="124">
        <v>116.7154</v>
      </c>
    </row>
    <row r="370" spans="1:1">
      <c r="A370" s="124">
        <v>116.4721</v>
      </c>
    </row>
    <row r="371" spans="1:1">
      <c r="A371" s="124">
        <v>116.4225</v>
      </c>
    </row>
    <row r="372" spans="1:1">
      <c r="A372" s="124">
        <v>116.13160000000001</v>
      </c>
    </row>
    <row r="373" spans="1:1">
      <c r="A373" s="124">
        <v>116.0819</v>
      </c>
    </row>
    <row r="374" spans="1:1">
      <c r="A374" s="124">
        <v>115.95529999999999</v>
      </c>
    </row>
    <row r="375" spans="1:1">
      <c r="A375" s="124">
        <v>115.81619999999999</v>
      </c>
    </row>
    <row r="376" spans="1:1">
      <c r="A376" s="124">
        <v>115.66379999999999</v>
      </c>
    </row>
    <row r="377" spans="1:1">
      <c r="A377" s="124">
        <v>115.7077</v>
      </c>
    </row>
    <row r="378" spans="1:1">
      <c r="A378" s="124">
        <v>115.477</v>
      </c>
    </row>
    <row r="379" spans="1:1">
      <c r="A379" s="124">
        <v>115.59</v>
      </c>
    </row>
    <row r="380" spans="1:1">
      <c r="A380" s="124">
        <v>115.1585</v>
      </c>
    </row>
    <row r="381" spans="1:1">
      <c r="A381" s="124">
        <v>115.1942</v>
      </c>
    </row>
    <row r="382" spans="1:1">
      <c r="A382" s="124">
        <v>115.0086</v>
      </c>
    </row>
    <row r="383" spans="1:1">
      <c r="A383" s="124">
        <v>114.75060000000001</v>
      </c>
    </row>
    <row r="384" spans="1:1">
      <c r="A384" s="124">
        <v>114.6926</v>
      </c>
    </row>
    <row r="385" spans="1:1">
      <c r="A385" s="124">
        <v>114.6397</v>
      </c>
    </row>
    <row r="386" spans="1:1">
      <c r="A386" s="124">
        <v>114.2713</v>
      </c>
    </row>
    <row r="387" spans="1:1">
      <c r="A387" s="124">
        <v>114.2475</v>
      </c>
    </row>
    <row r="388" spans="1:1">
      <c r="A388" s="124">
        <v>114.09220000000001</v>
      </c>
    </row>
    <row r="389" spans="1:1">
      <c r="A389" s="124">
        <v>114.0271</v>
      </c>
    </row>
    <row r="390" spans="1:1">
      <c r="A390" s="124">
        <v>113.85760000000001</v>
      </c>
    </row>
    <row r="391" spans="1:1">
      <c r="A391" s="124">
        <v>113.7914</v>
      </c>
    </row>
    <row r="392" spans="1:1">
      <c r="A392" s="124">
        <v>113.7196</v>
      </c>
    </row>
    <row r="393" spans="1:1">
      <c r="A393" s="124">
        <v>113.6131</v>
      </c>
    </row>
    <row r="394" spans="1:1">
      <c r="A394" s="124">
        <v>113.3445</v>
      </c>
    </row>
    <row r="395" spans="1:1">
      <c r="A395" s="124">
        <v>113.2533</v>
      </c>
    </row>
    <row r="396" spans="1:1">
      <c r="A396" s="124">
        <v>113.18089999999999</v>
      </c>
    </row>
    <row r="397" spans="1:1">
      <c r="A397" s="124">
        <v>113.05459999999999</v>
      </c>
    </row>
    <row r="398" spans="1:1">
      <c r="A398" s="124">
        <v>112.90430000000001</v>
      </c>
    </row>
    <row r="399" spans="1:1">
      <c r="A399" s="124">
        <v>112.782</v>
      </c>
    </row>
    <row r="400" spans="1:1">
      <c r="A400" s="124">
        <v>112.79389999999999</v>
      </c>
    </row>
    <row r="401" spans="1:1">
      <c r="A401" s="124">
        <v>112.5155</v>
      </c>
    </row>
    <row r="402" spans="1:1">
      <c r="A402" s="124">
        <v>112.4594</v>
      </c>
    </row>
    <row r="403" spans="1:1">
      <c r="A403" s="124">
        <v>112.4623</v>
      </c>
    </row>
    <row r="404" spans="1:1">
      <c r="A404" s="124">
        <v>112.2274</v>
      </c>
    </row>
    <row r="405" spans="1:1">
      <c r="A405" s="124">
        <v>111.97329999999999</v>
      </c>
    </row>
    <row r="406" spans="1:1">
      <c r="A406" s="124">
        <v>111.9627</v>
      </c>
    </row>
    <row r="407" spans="1:1">
      <c r="A407" s="124">
        <v>111.77760000000001</v>
      </c>
    </row>
    <row r="408" spans="1:1">
      <c r="A408" s="124">
        <v>111.6977</v>
      </c>
    </row>
    <row r="409" spans="1:1">
      <c r="A409" s="124">
        <v>111.53149999999999</v>
      </c>
    </row>
    <row r="410" spans="1:1">
      <c r="A410" s="124">
        <v>111.491</v>
      </c>
    </row>
    <row r="411" spans="1:1">
      <c r="A411" s="124">
        <v>111.2396</v>
      </c>
    </row>
    <row r="412" spans="1:1">
      <c r="A412" s="124">
        <v>111.00020000000001</v>
      </c>
    </row>
    <row r="413" spans="1:1">
      <c r="A413" s="124">
        <v>110.9817</v>
      </c>
    </row>
    <row r="414" spans="1:1">
      <c r="A414" s="124">
        <v>110.9165</v>
      </c>
    </row>
    <row r="415" spans="1:1">
      <c r="A415" s="124">
        <v>110.6713</v>
      </c>
    </row>
    <row r="416" spans="1:1">
      <c r="A416" s="124">
        <v>110.5219</v>
      </c>
    </row>
    <row r="417" spans="1:1">
      <c r="A417" s="124">
        <v>110.5364</v>
      </c>
    </row>
    <row r="418" spans="1:1">
      <c r="A418" s="124">
        <v>110.2329</v>
      </c>
    </row>
    <row r="419" spans="1:1">
      <c r="A419" s="124">
        <v>110.30889999999999</v>
      </c>
    </row>
    <row r="420" spans="1:1">
      <c r="A420" s="124">
        <v>110.0659</v>
      </c>
    </row>
    <row r="421" spans="1:1">
      <c r="A421" s="124">
        <v>109.91670000000001</v>
      </c>
    </row>
    <row r="422" spans="1:1">
      <c r="A422" s="124">
        <v>109.8047</v>
      </c>
    </row>
    <row r="423" spans="1:1">
      <c r="A423" s="124">
        <v>109.6091</v>
      </c>
    </row>
    <row r="424" spans="1:1">
      <c r="A424" s="124">
        <v>109.5758</v>
      </c>
    </row>
    <row r="425" spans="1:1">
      <c r="A425" s="124">
        <v>109.5168</v>
      </c>
    </row>
    <row r="426" spans="1:1">
      <c r="A426" s="124">
        <v>109.4828</v>
      </c>
    </row>
    <row r="427" spans="1:1">
      <c r="A427" s="124">
        <v>109.23180000000001</v>
      </c>
    </row>
    <row r="428" spans="1:1">
      <c r="A428" s="124">
        <v>109.1135</v>
      </c>
    </row>
    <row r="429" spans="1:1">
      <c r="A429" s="124">
        <v>109.16</v>
      </c>
    </row>
    <row r="430" spans="1:1">
      <c r="A430" s="124">
        <v>109.01309999999999</v>
      </c>
    </row>
    <row r="431" spans="1:1">
      <c r="A431" s="124">
        <v>108.991</v>
      </c>
    </row>
    <row r="432" spans="1:1">
      <c r="A432" s="124">
        <v>108.6741</v>
      </c>
    </row>
    <row r="433" spans="1:1">
      <c r="A433" s="124">
        <v>108.6139</v>
      </c>
    </row>
    <row r="434" spans="1:1">
      <c r="A434" s="124">
        <v>108.45229999999999</v>
      </c>
    </row>
    <row r="435" spans="1:1">
      <c r="A435" s="124">
        <v>108.3569</v>
      </c>
    </row>
    <row r="436" spans="1:1">
      <c r="A436" s="124">
        <v>108.2127</v>
      </c>
    </row>
    <row r="437" spans="1:1">
      <c r="A437" s="124">
        <v>108.1553</v>
      </c>
    </row>
    <row r="438" spans="1:1">
      <c r="A438" s="124">
        <v>108.229</v>
      </c>
    </row>
    <row r="439" spans="1:1">
      <c r="A439" s="124">
        <v>107.77209999999999</v>
      </c>
    </row>
    <row r="440" spans="1:1">
      <c r="A440" s="124">
        <v>107.80419999999999</v>
      </c>
    </row>
    <row r="441" spans="1:1">
      <c r="A441" s="124">
        <v>107.8318</v>
      </c>
    </row>
    <row r="442" spans="1:1">
      <c r="A442" s="124">
        <v>107.5639</v>
      </c>
    </row>
    <row r="443" spans="1:1">
      <c r="A443" s="124">
        <v>107.3065</v>
      </c>
    </row>
    <row r="444" spans="1:1">
      <c r="A444" s="124">
        <v>107.3064</v>
      </c>
    </row>
    <row r="445" spans="1:1">
      <c r="A445" s="124">
        <v>107.1962</v>
      </c>
    </row>
    <row r="446" spans="1:1">
      <c r="A446" s="124">
        <v>107.11450000000001</v>
      </c>
    </row>
    <row r="447" spans="1:1">
      <c r="A447" s="124">
        <v>106.9812</v>
      </c>
    </row>
    <row r="448" spans="1:1">
      <c r="A448" s="124">
        <v>106.8489</v>
      </c>
    </row>
    <row r="449" spans="1:1">
      <c r="A449" s="124">
        <v>106.86199999999999</v>
      </c>
    </row>
    <row r="450" spans="1:1">
      <c r="A450" s="124">
        <v>106.7238</v>
      </c>
    </row>
    <row r="451" spans="1:1">
      <c r="A451" s="124">
        <v>106.50839999999999</v>
      </c>
    </row>
    <row r="452" spans="1:1">
      <c r="A452" s="124">
        <v>106.3766</v>
      </c>
    </row>
    <row r="453" spans="1:1">
      <c r="A453" s="124">
        <v>106.4592</v>
      </c>
    </row>
    <row r="454" spans="1:1">
      <c r="A454" s="124">
        <v>106.22450000000001</v>
      </c>
    </row>
    <row r="455" spans="1:1">
      <c r="A455" s="124">
        <v>106.1615</v>
      </c>
    </row>
    <row r="456" spans="1:1">
      <c r="A456" s="124">
        <v>105.9331</v>
      </c>
    </row>
    <row r="457" spans="1:1">
      <c r="A457" s="124">
        <v>105.914</v>
      </c>
    </row>
    <row r="458" spans="1:1">
      <c r="A458" s="124">
        <v>105.7945</v>
      </c>
    </row>
    <row r="459" spans="1:1">
      <c r="A459" s="124">
        <v>105.7306</v>
      </c>
    </row>
    <row r="460" spans="1:1">
      <c r="A460" s="124">
        <v>105.47709999999999</v>
      </c>
    </row>
    <row r="461" spans="1:1">
      <c r="A461" s="124">
        <v>105.5818</v>
      </c>
    </row>
    <row r="462" spans="1:1">
      <c r="A462" s="124">
        <v>105.30500000000001</v>
      </c>
    </row>
    <row r="463" spans="1:1">
      <c r="A463" s="124">
        <v>105.0831</v>
      </c>
    </row>
    <row r="464" spans="1:1">
      <c r="A464" s="124">
        <v>105.0397</v>
      </c>
    </row>
    <row r="465" spans="1:1">
      <c r="A465" s="124">
        <v>105.0658</v>
      </c>
    </row>
    <row r="466" spans="1:1">
      <c r="A466" s="124">
        <v>104.8091</v>
      </c>
    </row>
    <row r="467" spans="1:1">
      <c r="A467" s="124">
        <v>104.59050000000001</v>
      </c>
    </row>
    <row r="468" spans="1:1">
      <c r="A468" s="124">
        <v>104.6656</v>
      </c>
    </row>
    <row r="469" spans="1:1">
      <c r="A469" s="124">
        <v>104.4554</v>
      </c>
    </row>
    <row r="470" spans="1:1">
      <c r="A470" s="124">
        <v>104.2953</v>
      </c>
    </row>
    <row r="471" spans="1:1">
      <c r="A471" s="124">
        <v>104.3404</v>
      </c>
    </row>
    <row r="472" spans="1:1">
      <c r="A472" s="124">
        <v>104.14</v>
      </c>
    </row>
    <row r="473" spans="1:1">
      <c r="A473" s="124">
        <v>104.0864</v>
      </c>
    </row>
    <row r="474" spans="1:1">
      <c r="A474" s="124">
        <v>103.9028</v>
      </c>
    </row>
    <row r="475" spans="1:1">
      <c r="A475" s="124">
        <v>103.6793</v>
      </c>
    </row>
    <row r="476" spans="1:1">
      <c r="A476" s="124">
        <v>103.52</v>
      </c>
    </row>
    <row r="477" spans="1:1">
      <c r="A477" s="124">
        <v>103.5108</v>
      </c>
    </row>
    <row r="478" spans="1:1">
      <c r="A478" s="124">
        <v>103.5737</v>
      </c>
    </row>
    <row r="479" spans="1:1">
      <c r="A479" s="124">
        <v>103.2895</v>
      </c>
    </row>
    <row r="480" spans="1:1">
      <c r="A480" s="124">
        <v>103.1854</v>
      </c>
    </row>
    <row r="481" spans="1:1">
      <c r="A481" s="124">
        <v>103.1895</v>
      </c>
    </row>
    <row r="482" spans="1:1">
      <c r="A482" s="124">
        <v>103.06140000000001</v>
      </c>
    </row>
    <row r="483" spans="1:1">
      <c r="A483" s="124">
        <v>102.91540000000001</v>
      </c>
    </row>
    <row r="484" spans="1:1">
      <c r="A484" s="124">
        <v>102.7304</v>
      </c>
    </row>
    <row r="485" spans="1:1">
      <c r="A485" s="124">
        <v>102.7397</v>
      </c>
    </row>
    <row r="486" spans="1:1">
      <c r="A486" s="124">
        <v>102.538</v>
      </c>
    </row>
    <row r="487" spans="1:1">
      <c r="A487" s="124">
        <v>102.3937</v>
      </c>
    </row>
    <row r="488" spans="1:1">
      <c r="A488" s="124">
        <v>102.1782</v>
      </c>
    </row>
    <row r="489" spans="1:1">
      <c r="A489" s="124">
        <v>102.35420000000001</v>
      </c>
    </row>
    <row r="490" spans="1:1">
      <c r="A490" s="124">
        <v>102.0167</v>
      </c>
    </row>
    <row r="491" spans="1:1">
      <c r="A491" s="124">
        <v>101.84990000000001</v>
      </c>
    </row>
    <row r="492" spans="1:1">
      <c r="A492" s="124">
        <v>101.6416</v>
      </c>
    </row>
    <row r="493" spans="1:1">
      <c r="A493" s="124">
        <v>101.7414</v>
      </c>
    </row>
    <row r="494" spans="1:1">
      <c r="A494" s="124">
        <v>101.7724</v>
      </c>
    </row>
    <row r="495" spans="1:1">
      <c r="A495" s="124">
        <v>101.6644</v>
      </c>
    </row>
    <row r="496" spans="1:1">
      <c r="A496" s="124">
        <v>101.3959</v>
      </c>
    </row>
    <row r="497" spans="1:1">
      <c r="A497" s="124">
        <v>101.1639</v>
      </c>
    </row>
    <row r="498" spans="1:1">
      <c r="A498" s="124">
        <v>101.2062</v>
      </c>
    </row>
    <row r="499" spans="1:1">
      <c r="A499" s="124">
        <v>100.9221</v>
      </c>
    </row>
    <row r="500" spans="1:1">
      <c r="A500" s="124">
        <v>100.8296</v>
      </c>
    </row>
    <row r="501" spans="1:1">
      <c r="A501" s="124">
        <v>100.6159</v>
      </c>
    </row>
    <row r="502" spans="1:1">
      <c r="A502" s="124">
        <v>100.6306</v>
      </c>
    </row>
    <row r="503" spans="1:1">
      <c r="A503" s="124">
        <v>100.627</v>
      </c>
    </row>
    <row r="504" spans="1:1">
      <c r="A504" s="124">
        <v>100.4165</v>
      </c>
    </row>
    <row r="505" spans="1:1">
      <c r="A505" s="124">
        <v>100.1922</v>
      </c>
    </row>
    <row r="506" spans="1:1">
      <c r="A506" s="124">
        <v>100.0913</v>
      </c>
    </row>
    <row r="507" spans="1:1">
      <c r="A507" s="124">
        <v>100.1168</v>
      </c>
    </row>
    <row r="508" spans="1:1">
      <c r="A508" s="124">
        <v>100.0141</v>
      </c>
    </row>
    <row r="509" spans="1:1">
      <c r="A509" s="124">
        <v>100.001</v>
      </c>
    </row>
    <row r="510" spans="1:1">
      <c r="A510" s="124">
        <v>99.734499999999997</v>
      </c>
    </row>
    <row r="511" spans="1:1">
      <c r="A511" s="124">
        <v>99.647800000000004</v>
      </c>
    </row>
    <row r="512" spans="1:1">
      <c r="A512" s="124">
        <v>99.603399999999993</v>
      </c>
    </row>
    <row r="513" spans="1:1">
      <c r="A513" s="124">
        <v>99.562399999999997</v>
      </c>
    </row>
    <row r="514" spans="1:1">
      <c r="A514" s="124">
        <v>99.184899999999999</v>
      </c>
    </row>
    <row r="515" spans="1:1">
      <c r="A515" s="124">
        <v>99.132300000000001</v>
      </c>
    </row>
    <row r="516" spans="1:1">
      <c r="A516" s="124">
        <v>99.111699999999999</v>
      </c>
    </row>
    <row r="517" spans="1:1">
      <c r="A517" s="124">
        <v>98.989099999999993</v>
      </c>
    </row>
    <row r="518" spans="1:1">
      <c r="A518" s="124">
        <v>98.712500000000006</v>
      </c>
    </row>
    <row r="519" spans="1:1">
      <c r="A519" s="124">
        <v>98.773200000000003</v>
      </c>
    </row>
    <row r="520" spans="1:1">
      <c r="A520" s="124">
        <v>98.572800000000001</v>
      </c>
    </row>
    <row r="521" spans="1:1">
      <c r="A521" s="124">
        <v>98.455200000000005</v>
      </c>
    </row>
    <row r="522" spans="1:1">
      <c r="A522" s="124">
        <v>98.528199999999998</v>
      </c>
    </row>
    <row r="523" spans="1:1">
      <c r="A523" s="124">
        <v>98.046800000000005</v>
      </c>
    </row>
    <row r="524" spans="1:1">
      <c r="A524" s="124">
        <v>98.1768</v>
      </c>
    </row>
    <row r="525" spans="1:1">
      <c r="A525" s="124">
        <v>97.870500000000007</v>
      </c>
    </row>
    <row r="526" spans="1:1">
      <c r="A526" s="124">
        <v>98.063100000000006</v>
      </c>
    </row>
    <row r="527" spans="1:1">
      <c r="A527" s="124">
        <v>97.634100000000004</v>
      </c>
    </row>
    <row r="528" spans="1:1">
      <c r="A528" s="124">
        <v>97.585999999999999</v>
      </c>
    </row>
    <row r="529" spans="1:1">
      <c r="A529" s="124">
        <v>97.694699999999997</v>
      </c>
    </row>
    <row r="530" spans="1:1">
      <c r="A530" s="124">
        <v>97.396699999999996</v>
      </c>
    </row>
    <row r="531" spans="1:1">
      <c r="A531" s="124">
        <v>97.4084</v>
      </c>
    </row>
    <row r="532" spans="1:1">
      <c r="A532" s="124">
        <v>97.360100000000003</v>
      </c>
    </row>
    <row r="533" spans="1:1">
      <c r="A533" s="124">
        <v>97.137500000000003</v>
      </c>
    </row>
    <row r="534" spans="1:1">
      <c r="A534" s="124">
        <v>97.082400000000007</v>
      </c>
    </row>
    <row r="535" spans="1:1">
      <c r="A535" s="124">
        <v>96.890100000000004</v>
      </c>
    </row>
    <row r="536" spans="1:1">
      <c r="A536" s="124">
        <v>96.714100000000002</v>
      </c>
    </row>
    <row r="537" spans="1:1">
      <c r="A537" s="124">
        <v>96.686899999999994</v>
      </c>
    </row>
    <row r="538" spans="1:1">
      <c r="A538" s="124">
        <v>96.848799999999997</v>
      </c>
    </row>
    <row r="539" spans="1:1">
      <c r="A539" s="124">
        <v>96.561899999999994</v>
      </c>
    </row>
    <row r="540" spans="1:1">
      <c r="A540" s="124">
        <v>96.662899999999993</v>
      </c>
    </row>
    <row r="541" spans="1:1">
      <c r="A541" s="124">
        <v>96.373400000000004</v>
      </c>
    </row>
    <row r="542" spans="1:1">
      <c r="A542" s="124">
        <v>96.224299999999999</v>
      </c>
    </row>
    <row r="543" spans="1:1">
      <c r="A543" s="124">
        <v>95.887500000000003</v>
      </c>
    </row>
    <row r="544" spans="1:1">
      <c r="A544" s="124">
        <v>95.989400000000003</v>
      </c>
    </row>
    <row r="545" spans="1:1">
      <c r="A545" s="124">
        <v>95.988799999999998</v>
      </c>
    </row>
    <row r="546" spans="1:1">
      <c r="A546" s="124">
        <v>95.786900000000003</v>
      </c>
    </row>
    <row r="547" spans="1:1">
      <c r="A547" s="124">
        <v>95.839699999999993</v>
      </c>
    </row>
    <row r="548" spans="1:1">
      <c r="A548" s="124">
        <v>95.544899999999998</v>
      </c>
    </row>
    <row r="549" spans="1:1">
      <c r="A549" s="124">
        <v>95.427700000000002</v>
      </c>
    </row>
    <row r="550" spans="1:1">
      <c r="A550" s="124">
        <v>95.287899999999993</v>
      </c>
    </row>
    <row r="551" spans="1:1">
      <c r="A551" s="124">
        <v>95.111699999999999</v>
      </c>
    </row>
    <row r="552" spans="1:1">
      <c r="A552" s="124">
        <v>95.206800000000001</v>
      </c>
    </row>
    <row r="553" spans="1:1">
      <c r="A553" s="124">
        <v>95.086200000000005</v>
      </c>
    </row>
    <row r="554" spans="1:1">
      <c r="A554" s="124">
        <v>94.727099999999993</v>
      </c>
    </row>
    <row r="555" spans="1:1">
      <c r="A555" s="124">
        <v>94.767899999999997</v>
      </c>
    </row>
    <row r="556" spans="1:1">
      <c r="A556" s="124">
        <v>94.748099999999994</v>
      </c>
    </row>
    <row r="557" spans="1:1">
      <c r="A557" s="124">
        <v>94.6</v>
      </c>
    </row>
    <row r="558" spans="1:1">
      <c r="A558" s="124">
        <v>94.603999999999999</v>
      </c>
    </row>
    <row r="559" spans="1:1">
      <c r="A559" s="124">
        <v>94.271600000000007</v>
      </c>
    </row>
    <row r="560" spans="1:1">
      <c r="A560" s="124">
        <v>94.166300000000007</v>
      </c>
    </row>
    <row r="561" spans="1:1">
      <c r="A561" s="124">
        <v>94.213200000000001</v>
      </c>
    </row>
    <row r="562" spans="1:1">
      <c r="A562" s="124">
        <v>93.970500000000001</v>
      </c>
    </row>
    <row r="563" spans="1:1">
      <c r="A563" s="124">
        <v>93.890199999999993</v>
      </c>
    </row>
    <row r="564" spans="1:1">
      <c r="A564" s="124">
        <v>93.749799999999993</v>
      </c>
    </row>
    <row r="565" spans="1:1">
      <c r="A565" s="124">
        <v>93.756699999999995</v>
      </c>
    </row>
    <row r="566" spans="1:1">
      <c r="A566" s="124">
        <v>93.721900000000005</v>
      </c>
    </row>
    <row r="567" spans="1:1">
      <c r="A567" s="124">
        <v>93.537700000000001</v>
      </c>
    </row>
    <row r="568" spans="1:1">
      <c r="A568" s="124">
        <v>93.215599999999995</v>
      </c>
    </row>
    <row r="569" spans="1:1">
      <c r="A569" s="124">
        <v>93.257999999999996</v>
      </c>
    </row>
    <row r="570" spans="1:1">
      <c r="A570" s="124">
        <v>93.224199999999996</v>
      </c>
    </row>
    <row r="571" spans="1:1">
      <c r="A571" s="124">
        <v>93.175200000000004</v>
      </c>
    </row>
    <row r="572" spans="1:1">
      <c r="A572" s="124">
        <v>92.905000000000001</v>
      </c>
    </row>
    <row r="573" spans="1:1">
      <c r="A573" s="124">
        <v>92.774100000000004</v>
      </c>
    </row>
    <row r="574" spans="1:1">
      <c r="A574" s="124">
        <v>92.624399999999994</v>
      </c>
    </row>
    <row r="575" spans="1:1">
      <c r="A575" s="124">
        <v>92.719399999999993</v>
      </c>
    </row>
    <row r="576" spans="1:1">
      <c r="A576" s="124">
        <v>92.592399999999998</v>
      </c>
    </row>
    <row r="577" spans="1:1">
      <c r="A577" s="124">
        <v>92.334500000000006</v>
      </c>
    </row>
    <row r="578" spans="1:1">
      <c r="A578" s="124">
        <v>92.343000000000004</v>
      </c>
    </row>
    <row r="579" spans="1:1">
      <c r="A579" s="124">
        <v>92.346100000000007</v>
      </c>
    </row>
    <row r="580" spans="1:1">
      <c r="A580" s="124">
        <v>92.197400000000002</v>
      </c>
    </row>
    <row r="581" spans="1:1">
      <c r="A581" s="124">
        <v>92.023899999999998</v>
      </c>
    </row>
    <row r="582" spans="1:1">
      <c r="A582" s="124">
        <v>91.873800000000003</v>
      </c>
    </row>
    <row r="583" spans="1:1">
      <c r="A583" s="124">
        <v>91.734099999999998</v>
      </c>
    </row>
    <row r="584" spans="1:1">
      <c r="A584" s="124">
        <v>91.618899999999996</v>
      </c>
    </row>
    <row r="585" spans="1:1">
      <c r="A585" s="124">
        <v>91.451099999999997</v>
      </c>
    </row>
    <row r="586" spans="1:1">
      <c r="A586" s="124">
        <v>91.354399999999998</v>
      </c>
    </row>
    <row r="587" spans="1:1">
      <c r="A587" s="124">
        <v>91.270799999999994</v>
      </c>
    </row>
    <row r="588" spans="1:1">
      <c r="A588" s="124">
        <v>91.180199999999999</v>
      </c>
    </row>
    <row r="589" spans="1:1">
      <c r="A589" s="124">
        <v>91.147000000000006</v>
      </c>
    </row>
    <row r="590" spans="1:1">
      <c r="A590" s="124">
        <v>91.0124</v>
      </c>
    </row>
    <row r="591" spans="1:1">
      <c r="A591" s="124">
        <v>90.903300000000002</v>
      </c>
    </row>
    <row r="592" spans="1:1">
      <c r="A592" s="124">
        <v>90.864900000000006</v>
      </c>
    </row>
    <row r="593" spans="1:1">
      <c r="A593" s="124">
        <v>90.985299999999995</v>
      </c>
    </row>
    <row r="594" spans="1:1">
      <c r="A594" s="124">
        <v>90.710499999999996</v>
      </c>
    </row>
    <row r="595" spans="1:1">
      <c r="A595" s="124">
        <v>90.657700000000006</v>
      </c>
    </row>
    <row r="596" spans="1:1">
      <c r="A596" s="124">
        <v>90.378200000000007</v>
      </c>
    </row>
    <row r="597" spans="1:1">
      <c r="A597" s="124">
        <v>90.510999999999996</v>
      </c>
    </row>
    <row r="598" spans="1:1">
      <c r="A598" s="124">
        <v>90.398099999999999</v>
      </c>
    </row>
    <row r="599" spans="1:1">
      <c r="A599" s="124">
        <v>90.192400000000006</v>
      </c>
    </row>
    <row r="600" spans="1:1">
      <c r="A600" s="124">
        <v>90.007499999999993</v>
      </c>
    </row>
    <row r="601" spans="1:1">
      <c r="A601" s="124">
        <v>89.941800000000001</v>
      </c>
    </row>
    <row r="602" spans="1:1">
      <c r="A602" s="124">
        <v>89.892399999999995</v>
      </c>
    </row>
    <row r="603" spans="1:1">
      <c r="A603" s="124">
        <v>89.865899999999996</v>
      </c>
    </row>
    <row r="604" spans="1:1">
      <c r="A604" s="124">
        <v>89.736999999999995</v>
      </c>
    </row>
    <row r="605" spans="1:1">
      <c r="A605" s="124">
        <v>89.628500000000003</v>
      </c>
    </row>
    <row r="606" spans="1:1">
      <c r="A606" s="124">
        <v>89.496300000000005</v>
      </c>
    </row>
    <row r="607" spans="1:1">
      <c r="A607" s="124">
        <v>89.4679</v>
      </c>
    </row>
    <row r="608" spans="1:1">
      <c r="A608" s="124">
        <v>89.400800000000004</v>
      </c>
    </row>
    <row r="609" spans="1:1">
      <c r="A609" s="124">
        <v>89.151399999999995</v>
      </c>
    </row>
    <row r="610" spans="1:1">
      <c r="A610" s="124">
        <v>88.990899999999996</v>
      </c>
    </row>
    <row r="611" spans="1:1">
      <c r="A611" s="124">
        <v>89.125500000000002</v>
      </c>
    </row>
    <row r="612" spans="1:1">
      <c r="A612" s="124">
        <v>88.770799999999994</v>
      </c>
    </row>
    <row r="613" spans="1:1">
      <c r="A613" s="124">
        <v>88.874300000000005</v>
      </c>
    </row>
    <row r="614" spans="1:1">
      <c r="A614" s="124">
        <v>88.537499999999994</v>
      </c>
    </row>
    <row r="615" spans="1:1">
      <c r="A615" s="124">
        <v>88.778099999999995</v>
      </c>
    </row>
    <row r="616" spans="1:1">
      <c r="A616" s="124">
        <v>88.510199999999998</v>
      </c>
    </row>
    <row r="617" spans="1:1">
      <c r="A617" s="124">
        <v>88.369900000000001</v>
      </c>
    </row>
    <row r="618" spans="1:1">
      <c r="A618" s="124">
        <v>88.363600000000005</v>
      </c>
    </row>
    <row r="619" spans="1:1">
      <c r="A619" s="124">
        <v>88.05</v>
      </c>
    </row>
    <row r="620" spans="1:1">
      <c r="A620" s="124">
        <v>88.172200000000004</v>
      </c>
    </row>
    <row r="621" spans="1:1">
      <c r="A621" s="124">
        <v>88.167000000000002</v>
      </c>
    </row>
    <row r="622" spans="1:1">
      <c r="A622" s="124">
        <v>87.781300000000002</v>
      </c>
    </row>
    <row r="623" spans="1:1">
      <c r="A623" s="124">
        <v>87.492500000000007</v>
      </c>
    </row>
    <row r="624" spans="1:1">
      <c r="A624" s="124">
        <v>87.628200000000007</v>
      </c>
    </row>
    <row r="625" spans="1:1">
      <c r="A625" s="124">
        <v>87.728800000000007</v>
      </c>
    </row>
    <row r="626" spans="1:1">
      <c r="A626" s="124">
        <v>87.645399999999995</v>
      </c>
    </row>
    <row r="627" spans="1:1">
      <c r="A627" s="124">
        <v>87.247900000000001</v>
      </c>
    </row>
    <row r="628" spans="1:1">
      <c r="A628" s="124">
        <v>87.387200000000007</v>
      </c>
    </row>
    <row r="629" spans="1:1">
      <c r="A629" s="124">
        <v>87.0334</v>
      </c>
    </row>
    <row r="630" spans="1:1">
      <c r="A630" s="124">
        <v>87.247100000000003</v>
      </c>
    </row>
    <row r="631" spans="1:1">
      <c r="A631" s="124">
        <v>87.097899999999996</v>
      </c>
    </row>
    <row r="632" spans="1:1">
      <c r="A632" s="124">
        <v>87.013900000000007</v>
      </c>
    </row>
    <row r="633" spans="1:1">
      <c r="A633" s="124">
        <v>86.934299999999993</v>
      </c>
    </row>
    <row r="634" spans="1:1">
      <c r="A634" s="124">
        <v>86.621799999999993</v>
      </c>
    </row>
    <row r="635" spans="1:1">
      <c r="A635" s="124">
        <v>86.585599999999999</v>
      </c>
    </row>
    <row r="636" spans="1:1">
      <c r="A636" s="124">
        <v>86.5107</v>
      </c>
    </row>
    <row r="637" spans="1:1">
      <c r="A637" s="124">
        <v>86.438500000000005</v>
      </c>
    </row>
    <row r="638" spans="1:1">
      <c r="A638" s="124">
        <v>86.322100000000006</v>
      </c>
    </row>
    <row r="639" spans="1:1">
      <c r="A639" s="124">
        <v>86.112799999999993</v>
      </c>
    </row>
    <row r="640" spans="1:1">
      <c r="A640" s="124">
        <v>86.322999999999993</v>
      </c>
    </row>
    <row r="641" spans="1:1">
      <c r="A641" s="124">
        <v>86.0959</v>
      </c>
    </row>
    <row r="642" spans="1:1">
      <c r="A642" s="124">
        <v>85.828900000000004</v>
      </c>
    </row>
    <row r="643" spans="1:1">
      <c r="A643" s="124">
        <v>85.671700000000001</v>
      </c>
    </row>
    <row r="644" spans="1:1">
      <c r="A644" s="124">
        <v>85.775300000000001</v>
      </c>
    </row>
    <row r="645" spans="1:1">
      <c r="A645" s="124">
        <v>85.787999999999997</v>
      </c>
    </row>
    <row r="646" spans="1:1">
      <c r="A646" s="124">
        <v>85.712999999999994</v>
      </c>
    </row>
    <row r="647" spans="1:1">
      <c r="A647" s="124">
        <v>85.519000000000005</v>
      </c>
    </row>
    <row r="648" spans="1:1">
      <c r="A648" s="124">
        <v>85.528199999999998</v>
      </c>
    </row>
    <row r="649" spans="1:1">
      <c r="A649" s="124">
        <v>85.480099999999993</v>
      </c>
    </row>
    <row r="650" spans="1:1">
      <c r="A650" s="124">
        <v>85.210400000000007</v>
      </c>
    </row>
    <row r="651" spans="1:1">
      <c r="A651" s="124">
        <v>84.991699999999994</v>
      </c>
    </row>
    <row r="652" spans="1:1">
      <c r="A652" s="124">
        <v>85.040899999999993</v>
      </c>
    </row>
    <row r="653" spans="1:1">
      <c r="A653" s="124">
        <v>84.948300000000003</v>
      </c>
    </row>
    <row r="654" spans="1:1">
      <c r="A654" s="124">
        <v>84.954899999999995</v>
      </c>
    </row>
    <row r="655" spans="1:1">
      <c r="A655" s="124">
        <v>84.648099999999999</v>
      </c>
    </row>
    <row r="656" spans="1:1">
      <c r="A656" s="124">
        <v>84.609399999999994</v>
      </c>
    </row>
    <row r="657" spans="1:1">
      <c r="A657" s="124">
        <v>84.193200000000004</v>
      </c>
    </row>
    <row r="658" spans="1:1">
      <c r="A658" s="124">
        <v>84.361500000000007</v>
      </c>
    </row>
    <row r="659" spans="1:1">
      <c r="A659" s="124">
        <v>84.3964</v>
      </c>
    </row>
    <row r="660" spans="1:1">
      <c r="A660" s="124">
        <v>84.215000000000003</v>
      </c>
    </row>
    <row r="661" spans="1:1">
      <c r="A661" s="124">
        <v>84.272999999999996</v>
      </c>
    </row>
    <row r="662" spans="1:1">
      <c r="A662" s="124">
        <v>84.019499999999994</v>
      </c>
    </row>
    <row r="663" spans="1:1">
      <c r="A663" s="124">
        <v>83.875600000000006</v>
      </c>
    </row>
    <row r="664" spans="1:1">
      <c r="A664" s="124">
        <v>83.732399999999998</v>
      </c>
    </row>
    <row r="665" spans="1:1">
      <c r="A665" s="124">
        <v>83.554100000000005</v>
      </c>
    </row>
    <row r="666" spans="1:1">
      <c r="A666" s="124">
        <v>83.494399999999999</v>
      </c>
    </row>
    <row r="667" spans="1:1">
      <c r="A667" s="124">
        <v>83.650400000000005</v>
      </c>
    </row>
    <row r="668" spans="1:1">
      <c r="A668" s="124">
        <v>83.514899999999997</v>
      </c>
    </row>
    <row r="669" spans="1:1">
      <c r="A669" s="124">
        <v>83.279799999999994</v>
      </c>
    </row>
    <row r="670" spans="1:1">
      <c r="A670" s="124">
        <v>83.428899999999999</v>
      </c>
    </row>
    <row r="671" spans="1:1">
      <c r="A671" s="124">
        <v>83.217699999999994</v>
      </c>
    </row>
    <row r="672" spans="1:1">
      <c r="A672" s="124">
        <v>82.787499999999994</v>
      </c>
    </row>
    <row r="673" spans="1:1">
      <c r="A673" s="124">
        <v>82.872100000000003</v>
      </c>
    </row>
    <row r="674" spans="1:1">
      <c r="A674" s="124">
        <v>82.883300000000006</v>
      </c>
    </row>
    <row r="675" spans="1:1">
      <c r="A675" s="124">
        <v>82.766000000000005</v>
      </c>
    </row>
    <row r="676" spans="1:1">
      <c r="A676" s="124">
        <v>82.742800000000003</v>
      </c>
    </row>
    <row r="677" spans="1:1">
      <c r="A677" s="124">
        <v>82.554199999999994</v>
      </c>
    </row>
    <row r="678" spans="1:1">
      <c r="A678" s="124">
        <v>82.7029</v>
      </c>
    </row>
    <row r="679" spans="1:1">
      <c r="A679" s="124">
        <v>82.375200000000007</v>
      </c>
    </row>
    <row r="680" spans="1:1">
      <c r="A680" s="124">
        <v>82.263999999999996</v>
      </c>
    </row>
    <row r="681" spans="1:1">
      <c r="A681" s="124">
        <v>82.407799999999995</v>
      </c>
    </row>
    <row r="682" spans="1:1">
      <c r="A682" s="124">
        <v>82.170599999999993</v>
      </c>
    </row>
    <row r="683" spans="1:1">
      <c r="A683" s="124">
        <v>81.776899999999998</v>
      </c>
    </row>
    <row r="684" spans="1:1">
      <c r="A684" s="124">
        <v>81.881600000000006</v>
      </c>
    </row>
    <row r="685" spans="1:1">
      <c r="A685" s="124">
        <v>81.754300000000001</v>
      </c>
    </row>
    <row r="686" spans="1:1">
      <c r="A686" s="124">
        <v>81.506500000000003</v>
      </c>
    </row>
    <row r="687" spans="1:1">
      <c r="A687" s="124">
        <v>81.499099999999999</v>
      </c>
    </row>
    <row r="688" spans="1:1">
      <c r="A688" s="124">
        <v>81.563599999999994</v>
      </c>
    </row>
    <row r="689" spans="1:1">
      <c r="A689" s="124">
        <v>81.319199999999995</v>
      </c>
    </row>
    <row r="690" spans="1:1">
      <c r="A690" s="124">
        <v>81.282499999999999</v>
      </c>
    </row>
    <row r="691" spans="1:1">
      <c r="A691" s="124">
        <v>81.237399999999994</v>
      </c>
    </row>
    <row r="692" spans="1:1">
      <c r="A692" s="124">
        <v>81.010199999999998</v>
      </c>
    </row>
    <row r="693" spans="1:1">
      <c r="A693" s="124">
        <v>80.727199999999996</v>
      </c>
    </row>
    <row r="694" spans="1:1">
      <c r="A694" s="124">
        <v>80.9358</v>
      </c>
    </row>
    <row r="695" spans="1:1">
      <c r="A695" s="124">
        <v>81.016300000000001</v>
      </c>
    </row>
    <row r="696" spans="1:1">
      <c r="A696" s="124">
        <v>80.828500000000005</v>
      </c>
    </row>
    <row r="697" spans="1:1">
      <c r="A697" s="124">
        <v>80.691599999999994</v>
      </c>
    </row>
    <row r="698" spans="1:1">
      <c r="A698" s="124">
        <v>80.557500000000005</v>
      </c>
    </row>
    <row r="699" spans="1:1">
      <c r="A699" s="124">
        <v>80.394400000000005</v>
      </c>
    </row>
    <row r="700" spans="1:1">
      <c r="A700" s="124">
        <v>80.277900000000002</v>
      </c>
    </row>
    <row r="701" spans="1:1">
      <c r="A701" s="124">
        <v>80.349999999999994</v>
      </c>
    </row>
    <row r="702" spans="1:1">
      <c r="A702" s="124">
        <v>80.127700000000004</v>
      </c>
    </row>
    <row r="703" spans="1:1">
      <c r="A703" s="124">
        <v>79.978899999999996</v>
      </c>
    </row>
    <row r="704" spans="1:1">
      <c r="A704" s="124">
        <v>79.921700000000001</v>
      </c>
    </row>
    <row r="705" spans="1:1">
      <c r="A705" s="124">
        <v>79.8232</v>
      </c>
    </row>
    <row r="706" spans="1:1">
      <c r="A706" s="124">
        <v>79.7761</v>
      </c>
    </row>
    <row r="707" spans="1:1">
      <c r="A707" s="124">
        <v>79.679299999999998</v>
      </c>
    </row>
    <row r="708" spans="1:1">
      <c r="A708" s="124">
        <v>79.6494</v>
      </c>
    </row>
    <row r="709" spans="1:1">
      <c r="A709" s="124">
        <v>79.359300000000005</v>
      </c>
    </row>
    <row r="710" spans="1:1">
      <c r="A710" s="124">
        <v>79.370099999999994</v>
      </c>
    </row>
    <row r="711" spans="1:1">
      <c r="A711" s="124">
        <v>79.509900000000002</v>
      </c>
    </row>
    <row r="712" spans="1:1">
      <c r="A712" s="124">
        <v>79.096400000000003</v>
      </c>
    </row>
    <row r="713" spans="1:1">
      <c r="A713" s="124">
        <v>78.937299999999993</v>
      </c>
    </row>
    <row r="714" spans="1:1">
      <c r="A714" s="124">
        <v>78.899500000000003</v>
      </c>
    </row>
    <row r="715" spans="1:1">
      <c r="A715" s="124">
        <v>79.055700000000002</v>
      </c>
    </row>
    <row r="716" spans="1:1">
      <c r="A716" s="124">
        <v>78.773099999999999</v>
      </c>
    </row>
    <row r="717" spans="1:1">
      <c r="A717" s="124">
        <v>78.784899999999993</v>
      </c>
    </row>
    <row r="718" spans="1:1">
      <c r="A718" s="124">
        <v>78.752499999999998</v>
      </c>
    </row>
    <row r="719" spans="1:1">
      <c r="A719" s="124">
        <v>78.452600000000004</v>
      </c>
    </row>
    <row r="720" spans="1:1">
      <c r="A720" s="124">
        <v>78.356399999999994</v>
      </c>
    </row>
    <row r="721" spans="1:1">
      <c r="A721" s="124">
        <v>78.399500000000003</v>
      </c>
    </row>
    <row r="722" spans="1:1">
      <c r="A722" s="124">
        <v>78.323099999999997</v>
      </c>
    </row>
    <row r="723" spans="1:1">
      <c r="A723" s="124">
        <v>78.236000000000004</v>
      </c>
    </row>
    <row r="724" spans="1:1">
      <c r="A724" s="124">
        <v>77.817800000000005</v>
      </c>
    </row>
    <row r="725" spans="1:1">
      <c r="A725" s="124">
        <v>77.860399999999998</v>
      </c>
    </row>
    <row r="726" spans="1:1">
      <c r="A726" s="124">
        <v>77.924800000000005</v>
      </c>
    </row>
    <row r="727" spans="1:1">
      <c r="A727" s="124">
        <v>77.783100000000005</v>
      </c>
    </row>
    <row r="728" spans="1:1">
      <c r="A728" s="124">
        <v>77.599100000000007</v>
      </c>
    </row>
    <row r="729" spans="1:1">
      <c r="A729" s="124">
        <v>77.478899999999996</v>
      </c>
    </row>
    <row r="730" spans="1:1">
      <c r="A730" s="124">
        <v>77.516199999999998</v>
      </c>
    </row>
    <row r="731" spans="1:1">
      <c r="A731" s="124">
        <v>77.379400000000004</v>
      </c>
    </row>
    <row r="732" spans="1:1">
      <c r="A732" s="124">
        <v>77.384299999999996</v>
      </c>
    </row>
    <row r="733" spans="1:1">
      <c r="A733" s="124">
        <v>77.368600000000001</v>
      </c>
    </row>
    <row r="734" spans="1:1">
      <c r="A734" s="124">
        <v>77.230599999999995</v>
      </c>
    </row>
    <row r="735" spans="1:1">
      <c r="A735" s="124">
        <v>76.974299999999999</v>
      </c>
    </row>
    <row r="736" spans="1:1">
      <c r="A736" s="124">
        <v>76.926900000000003</v>
      </c>
    </row>
    <row r="737" spans="1:1">
      <c r="A737" s="124">
        <v>76.971599999999995</v>
      </c>
    </row>
    <row r="738" spans="1:1">
      <c r="A738" s="124">
        <v>76.939700000000002</v>
      </c>
    </row>
    <row r="739" spans="1:1">
      <c r="A739" s="124">
        <v>76.955100000000002</v>
      </c>
    </row>
    <row r="740" spans="1:1">
      <c r="A740" s="124">
        <v>76.371300000000005</v>
      </c>
    </row>
    <row r="741" spans="1:1">
      <c r="A741" s="124">
        <v>76.662099999999995</v>
      </c>
    </row>
    <row r="742" spans="1:1">
      <c r="A742" s="124">
        <v>76.525300000000001</v>
      </c>
    </row>
    <row r="743" spans="1:1">
      <c r="A743" s="124">
        <v>76.5381</v>
      </c>
    </row>
    <row r="744" spans="1:1">
      <c r="A744" s="124">
        <v>76.227900000000005</v>
      </c>
    </row>
    <row r="745" spans="1:1">
      <c r="A745" s="124">
        <v>76.072999999999993</v>
      </c>
    </row>
    <row r="746" spans="1:1">
      <c r="A746" s="124">
        <v>76.058599999999998</v>
      </c>
    </row>
    <row r="747" spans="1:1">
      <c r="A747" s="124">
        <v>75.832099999999997</v>
      </c>
    </row>
    <row r="748" spans="1:1">
      <c r="A748" s="124">
        <v>75.888300000000001</v>
      </c>
    </row>
    <row r="749" spans="1:1">
      <c r="A749" s="124">
        <v>75.826700000000002</v>
      </c>
    </row>
    <row r="750" spans="1:1">
      <c r="A750" s="124">
        <v>75.744799999999998</v>
      </c>
    </row>
    <row r="751" spans="1:1">
      <c r="A751" s="124">
        <v>75.608900000000006</v>
      </c>
    </row>
    <row r="752" spans="1:1">
      <c r="A752" s="124">
        <v>75.329499999999996</v>
      </c>
    </row>
    <row r="753" spans="1:1">
      <c r="A753" s="124">
        <v>75.453599999999994</v>
      </c>
    </row>
    <row r="754" spans="1:1">
      <c r="A754" s="124">
        <v>75.477199999999996</v>
      </c>
    </row>
    <row r="755" spans="1:1">
      <c r="A755" s="124">
        <v>75.317599999999999</v>
      </c>
    </row>
    <row r="756" spans="1:1">
      <c r="A756" s="124">
        <v>75.419300000000007</v>
      </c>
    </row>
    <row r="757" spans="1:1">
      <c r="A757" s="124">
        <v>75.187100000000001</v>
      </c>
    </row>
    <row r="758" spans="1:1">
      <c r="A758" s="124">
        <v>75.239199999999997</v>
      </c>
    </row>
    <row r="759" spans="1:1">
      <c r="A759" s="124">
        <v>74.890100000000004</v>
      </c>
    </row>
    <row r="760" spans="1:1">
      <c r="A760" s="124">
        <v>74.831999999999994</v>
      </c>
    </row>
    <row r="761" spans="1:1">
      <c r="A761" s="124">
        <v>74.796400000000006</v>
      </c>
    </row>
    <row r="762" spans="1:1">
      <c r="A762" s="124">
        <v>74.514499999999998</v>
      </c>
    </row>
    <row r="763" spans="1:1">
      <c r="A763" s="124">
        <v>74.570599999999999</v>
      </c>
    </row>
    <row r="764" spans="1:1">
      <c r="A764" s="124">
        <v>74.521100000000004</v>
      </c>
    </row>
    <row r="765" spans="1:1">
      <c r="A765" s="124">
        <v>74.437799999999996</v>
      </c>
    </row>
    <row r="766" spans="1:1">
      <c r="A766" s="124">
        <v>74.621700000000004</v>
      </c>
    </row>
    <row r="767" spans="1:1">
      <c r="A767" s="124">
        <v>74.226699999999994</v>
      </c>
    </row>
    <row r="768" spans="1:1">
      <c r="A768" s="124">
        <v>73.962199999999996</v>
      </c>
    </row>
    <row r="769" spans="1:1">
      <c r="A769" s="124">
        <v>73.914500000000004</v>
      </c>
    </row>
    <row r="770" spans="1:1">
      <c r="A770" s="124">
        <v>74.181799999999996</v>
      </c>
    </row>
    <row r="771" spans="1:1">
      <c r="A771" s="124">
        <v>74.036000000000001</v>
      </c>
    </row>
    <row r="772" spans="1:1">
      <c r="A772" s="124">
        <v>73.672600000000003</v>
      </c>
    </row>
    <row r="773" spans="1:1">
      <c r="A773" s="124">
        <v>73.705699999999993</v>
      </c>
    </row>
    <row r="774" spans="1:1">
      <c r="A774" s="124">
        <v>73.538300000000007</v>
      </c>
    </row>
    <row r="775" spans="1:1">
      <c r="A775" s="124">
        <v>73.508899999999997</v>
      </c>
    </row>
    <row r="776" spans="1:1">
      <c r="A776" s="124">
        <v>73.625699999999995</v>
      </c>
    </row>
    <row r="777" spans="1:1">
      <c r="A777" s="124">
        <v>73.352599999999995</v>
      </c>
    </row>
    <row r="778" spans="1:1">
      <c r="A778" s="124">
        <v>73.109800000000007</v>
      </c>
    </row>
    <row r="779" spans="1:1">
      <c r="A779" s="124">
        <v>73.260099999999994</v>
      </c>
    </row>
    <row r="780" spans="1:1">
      <c r="A780" s="124">
        <v>73.299499999999995</v>
      </c>
    </row>
    <row r="781" spans="1:1">
      <c r="A781" s="124">
        <v>73.049400000000006</v>
      </c>
    </row>
    <row r="782" spans="1:1">
      <c r="A782" s="124">
        <v>73.184100000000001</v>
      </c>
    </row>
    <row r="783" spans="1:1">
      <c r="A783" s="124">
        <v>73.165000000000006</v>
      </c>
    </row>
    <row r="784" spans="1:1">
      <c r="A784" s="124">
        <v>72.972200000000001</v>
      </c>
    </row>
    <row r="785" spans="1:1">
      <c r="A785" s="124">
        <v>72.813500000000005</v>
      </c>
    </row>
    <row r="786" spans="1:1">
      <c r="A786" s="124">
        <v>72.539299999999997</v>
      </c>
    </row>
    <row r="787" spans="1:1">
      <c r="A787" s="124">
        <v>72.667699999999996</v>
      </c>
    </row>
    <row r="788" spans="1:1">
      <c r="A788" s="124">
        <v>72.631200000000007</v>
      </c>
    </row>
    <row r="789" spans="1:1">
      <c r="A789" s="124">
        <v>72.403599999999997</v>
      </c>
    </row>
    <row r="790" spans="1:1">
      <c r="A790" s="124">
        <v>72.508600000000001</v>
      </c>
    </row>
    <row r="791" spans="1:1">
      <c r="A791" s="124">
        <v>72.414500000000004</v>
      </c>
    </row>
    <row r="792" spans="1:1">
      <c r="A792" s="124">
        <v>72.251199999999997</v>
      </c>
    </row>
    <row r="793" spans="1:1">
      <c r="A793" s="124">
        <v>72.073599999999999</v>
      </c>
    </row>
    <row r="794" spans="1:1">
      <c r="A794" s="124">
        <v>72.028300000000002</v>
      </c>
    </row>
    <row r="795" spans="1:1">
      <c r="A795" s="124">
        <v>72.051900000000003</v>
      </c>
    </row>
    <row r="796" spans="1:1">
      <c r="A796" s="124">
        <v>71.950199999999995</v>
      </c>
    </row>
    <row r="797" spans="1:1">
      <c r="A797" s="124">
        <v>71.7697</v>
      </c>
    </row>
    <row r="798" spans="1:1">
      <c r="A798" s="124">
        <v>71.716300000000004</v>
      </c>
    </row>
    <row r="799" spans="1:1">
      <c r="A799" s="124">
        <v>71.505099999999999</v>
      </c>
    </row>
    <row r="800" spans="1:1">
      <c r="A800" s="124">
        <v>71.496600000000001</v>
      </c>
    </row>
    <row r="801" spans="1:1">
      <c r="A801" s="124">
        <v>71.390299999999996</v>
      </c>
    </row>
    <row r="802" spans="1:1">
      <c r="A802" s="124">
        <v>71.435400000000001</v>
      </c>
    </row>
    <row r="803" spans="1:1">
      <c r="A803" s="124">
        <v>71.191599999999994</v>
      </c>
    </row>
    <row r="804" spans="1:1">
      <c r="A804" s="124">
        <v>70.967799999999997</v>
      </c>
    </row>
    <row r="805" spans="1:1">
      <c r="A805" s="124">
        <v>70.930400000000006</v>
      </c>
    </row>
    <row r="806" spans="1:1">
      <c r="A806" s="124">
        <v>70.938100000000006</v>
      </c>
    </row>
    <row r="807" spans="1:1">
      <c r="A807" s="124">
        <v>70.789100000000005</v>
      </c>
    </row>
    <row r="808" spans="1:1">
      <c r="A808" s="124">
        <v>70.828400000000002</v>
      </c>
    </row>
    <row r="809" spans="1:1">
      <c r="A809" s="124">
        <v>70.805199999999999</v>
      </c>
    </row>
    <row r="810" spans="1:1">
      <c r="A810" s="124">
        <v>70.729699999999994</v>
      </c>
    </row>
    <row r="811" spans="1:1">
      <c r="A811" s="124">
        <v>70.526700000000005</v>
      </c>
    </row>
    <row r="812" spans="1:1">
      <c r="A812" s="124">
        <v>70.505099999999999</v>
      </c>
    </row>
    <row r="813" spans="1:1">
      <c r="A813" s="124">
        <v>70.393500000000003</v>
      </c>
    </row>
    <row r="814" spans="1:1">
      <c r="A814" s="124">
        <v>70.236699999999999</v>
      </c>
    </row>
    <row r="815" spans="1:1">
      <c r="A815" s="124">
        <v>70.065700000000007</v>
      </c>
    </row>
    <row r="816" spans="1:1">
      <c r="A816" s="124">
        <v>70.195300000000003</v>
      </c>
    </row>
    <row r="817" spans="1:1">
      <c r="A817" s="124">
        <v>70.047799999999995</v>
      </c>
    </row>
    <row r="818" spans="1:1">
      <c r="A818" s="124">
        <v>70.1066</v>
      </c>
    </row>
    <row r="819" spans="1:1">
      <c r="A819" s="124">
        <v>69.912800000000004</v>
      </c>
    </row>
    <row r="820" spans="1:1">
      <c r="A820" s="124">
        <v>69.903700000000001</v>
      </c>
    </row>
    <row r="821" spans="1:1">
      <c r="A821" s="124">
        <v>69.853700000000003</v>
      </c>
    </row>
    <row r="822" spans="1:1">
      <c r="A822" s="124">
        <v>69.728399999999993</v>
      </c>
    </row>
    <row r="823" spans="1:1">
      <c r="A823" s="124">
        <v>69.622</v>
      </c>
    </row>
    <row r="824" spans="1:1">
      <c r="A824" s="124">
        <v>69.460800000000006</v>
      </c>
    </row>
    <row r="825" spans="1:1">
      <c r="A825" s="124">
        <v>69.434100000000001</v>
      </c>
    </row>
    <row r="826" spans="1:1">
      <c r="A826" s="124">
        <v>69.140600000000006</v>
      </c>
    </row>
    <row r="827" spans="1:1">
      <c r="A827" s="124">
        <v>69.317599999999999</v>
      </c>
    </row>
    <row r="828" spans="1:1">
      <c r="A828" s="124">
        <v>69.208699999999993</v>
      </c>
    </row>
    <row r="829" spans="1:1">
      <c r="A829" s="124">
        <v>69.281300000000002</v>
      </c>
    </row>
    <row r="830" spans="1:1">
      <c r="A830" s="124">
        <v>69.197800000000001</v>
      </c>
    </row>
    <row r="831" spans="1:1">
      <c r="A831" s="124">
        <v>69.078999999999994</v>
      </c>
    </row>
    <row r="832" spans="1:1">
      <c r="A832" s="124">
        <v>68.97</v>
      </c>
    </row>
    <row r="833" spans="1:1">
      <c r="A833" s="124">
        <v>68.877300000000005</v>
      </c>
    </row>
    <row r="834" spans="1:1">
      <c r="A834" s="124">
        <v>68.697699999999998</v>
      </c>
    </row>
    <row r="835" spans="1:1">
      <c r="A835" s="124">
        <v>68.663799999999995</v>
      </c>
    </row>
    <row r="836" spans="1:1">
      <c r="A836" s="124">
        <v>68.523799999999994</v>
      </c>
    </row>
    <row r="837" spans="1:1">
      <c r="A837" s="124">
        <v>68.629800000000003</v>
      </c>
    </row>
    <row r="838" spans="1:1">
      <c r="A838" s="124">
        <v>68.473200000000006</v>
      </c>
    </row>
    <row r="839" spans="1:1">
      <c r="A839" s="124">
        <v>68.154499999999999</v>
      </c>
    </row>
    <row r="840" spans="1:1">
      <c r="A840" s="124">
        <v>68.47</v>
      </c>
    </row>
    <row r="841" spans="1:1">
      <c r="A841" s="124">
        <v>68.214299999999994</v>
      </c>
    </row>
    <row r="842" spans="1:1">
      <c r="A842" s="124">
        <v>67.971000000000004</v>
      </c>
    </row>
    <row r="843" spans="1:1">
      <c r="A843" s="124">
        <v>67.927599999999998</v>
      </c>
    </row>
    <row r="844" spans="1:1">
      <c r="A844" s="124">
        <v>67.893600000000006</v>
      </c>
    </row>
    <row r="845" spans="1:1">
      <c r="A845" s="124">
        <v>67.855800000000002</v>
      </c>
    </row>
    <row r="846" spans="1:1">
      <c r="A846" s="124">
        <v>67.712000000000003</v>
      </c>
    </row>
    <row r="847" spans="1:1">
      <c r="A847" s="124">
        <v>67.744500000000002</v>
      </c>
    </row>
    <row r="848" spans="1:1">
      <c r="A848" s="124">
        <v>67.631900000000002</v>
      </c>
    </row>
    <row r="849" spans="1:1">
      <c r="A849" s="124">
        <v>67.395200000000003</v>
      </c>
    </row>
    <row r="850" spans="1:1">
      <c r="A850" s="124">
        <v>67.435599999999994</v>
      </c>
    </row>
    <row r="851" spans="1:1">
      <c r="A851" s="124">
        <v>67.252399999999994</v>
      </c>
    </row>
    <row r="852" spans="1:1">
      <c r="A852" s="124">
        <v>67.125200000000007</v>
      </c>
    </row>
    <row r="853" spans="1:1">
      <c r="A853" s="124">
        <v>67.162899999999993</v>
      </c>
    </row>
    <row r="854" spans="1:1">
      <c r="A854" s="124">
        <v>67.194199999999995</v>
      </c>
    </row>
    <row r="855" spans="1:1">
      <c r="A855" s="124">
        <v>67.095299999999995</v>
      </c>
    </row>
    <row r="856" spans="1:1">
      <c r="A856" s="124">
        <v>66.897999999999996</v>
      </c>
    </row>
    <row r="857" spans="1:1">
      <c r="A857" s="124">
        <v>66.816100000000006</v>
      </c>
    </row>
    <row r="858" spans="1:1">
      <c r="A858" s="124">
        <v>66.813100000000006</v>
      </c>
    </row>
    <row r="859" spans="1:1">
      <c r="A859" s="124">
        <v>66.696100000000001</v>
      </c>
    </row>
    <row r="860" spans="1:1">
      <c r="A860" s="124">
        <v>66.615099999999998</v>
      </c>
    </row>
    <row r="861" spans="1:1">
      <c r="A861" s="124">
        <v>66.359499999999997</v>
      </c>
    </row>
    <row r="862" spans="1:1">
      <c r="A862" s="124">
        <v>66.597700000000003</v>
      </c>
    </row>
    <row r="863" spans="1:1">
      <c r="A863" s="124">
        <v>66.478999999999999</v>
      </c>
    </row>
    <row r="864" spans="1:1">
      <c r="A864" s="124">
        <v>66.239199999999997</v>
      </c>
    </row>
    <row r="865" spans="1:1">
      <c r="A865" s="124">
        <v>66.415499999999994</v>
      </c>
    </row>
    <row r="866" spans="1:1">
      <c r="A866" s="124">
        <v>66.138499999999993</v>
      </c>
    </row>
    <row r="867" spans="1:1">
      <c r="A867" s="124">
        <v>66.043099999999995</v>
      </c>
    </row>
    <row r="868" spans="1:1">
      <c r="A868" s="124">
        <v>65.860500000000002</v>
      </c>
    </row>
    <row r="869" spans="1:1">
      <c r="A869" s="124">
        <v>66.028400000000005</v>
      </c>
    </row>
    <row r="870" spans="1:1">
      <c r="A870" s="124">
        <v>65.909899999999993</v>
      </c>
    </row>
    <row r="871" spans="1:1">
      <c r="A871" s="124">
        <v>65.840500000000006</v>
      </c>
    </row>
    <row r="872" spans="1:1">
      <c r="A872" s="124">
        <v>65.873800000000003</v>
      </c>
    </row>
    <row r="873" spans="1:1">
      <c r="A873" s="124">
        <v>65.516199999999998</v>
      </c>
    </row>
    <row r="874" spans="1:1">
      <c r="A874" s="124">
        <v>65.580600000000004</v>
      </c>
    </row>
    <row r="875" spans="1:1">
      <c r="A875" s="124">
        <v>65.682000000000002</v>
      </c>
    </row>
    <row r="876" spans="1:1">
      <c r="A876" s="124">
        <v>65.531700000000001</v>
      </c>
    </row>
    <row r="877" spans="1:1">
      <c r="A877" s="124">
        <v>65.3733</v>
      </c>
    </row>
    <row r="878" spans="1:1">
      <c r="A878" s="124">
        <v>65.339399999999998</v>
      </c>
    </row>
    <row r="879" spans="1:1">
      <c r="A879" s="124">
        <v>65.260199999999998</v>
      </c>
    </row>
    <row r="880" spans="1:1">
      <c r="A880" s="124">
        <v>65.185900000000004</v>
      </c>
    </row>
    <row r="881" spans="1:1">
      <c r="A881" s="124">
        <v>65.263499999999993</v>
      </c>
    </row>
    <row r="882" spans="1:1">
      <c r="A882" s="124">
        <v>64.860299999999995</v>
      </c>
    </row>
    <row r="883" spans="1:1">
      <c r="A883" s="124">
        <v>64.793800000000005</v>
      </c>
    </row>
    <row r="884" spans="1:1">
      <c r="A884" s="124">
        <v>64.765100000000004</v>
      </c>
    </row>
    <row r="885" spans="1:1">
      <c r="A885" s="124">
        <v>64.780100000000004</v>
      </c>
    </row>
    <row r="886" spans="1:1">
      <c r="A886" s="124">
        <v>64.534999999999997</v>
      </c>
    </row>
    <row r="887" spans="1:1">
      <c r="A887" s="124">
        <v>64.385199999999998</v>
      </c>
    </row>
    <row r="888" spans="1:1">
      <c r="A888" s="124">
        <v>64.423599999999993</v>
      </c>
    </row>
    <row r="889" spans="1:1">
      <c r="A889" s="124">
        <v>64.203999999999994</v>
      </c>
    </row>
    <row r="890" spans="1:1">
      <c r="A890" s="124">
        <v>64.413700000000006</v>
      </c>
    </row>
    <row r="891" spans="1:1">
      <c r="A891" s="124">
        <v>64.282200000000003</v>
      </c>
    </row>
    <row r="892" spans="1:1">
      <c r="A892" s="124">
        <v>64.284700000000001</v>
      </c>
    </row>
    <row r="893" spans="1:1">
      <c r="A893" s="124">
        <v>63.938099999999999</v>
      </c>
    </row>
    <row r="894" spans="1:1">
      <c r="A894" s="124">
        <v>63.993400000000001</v>
      </c>
    </row>
    <row r="895" spans="1:1">
      <c r="A895" s="124">
        <v>64.069100000000006</v>
      </c>
    </row>
    <row r="896" spans="1:1">
      <c r="A896" s="124">
        <v>63.863</v>
      </c>
    </row>
    <row r="897" spans="1:1">
      <c r="A897" s="124">
        <v>63.9041</v>
      </c>
    </row>
    <row r="898" spans="1:1">
      <c r="A898" s="124">
        <v>63.766300000000001</v>
      </c>
    </row>
    <row r="899" spans="1:1">
      <c r="A899" s="124">
        <v>63.889600000000002</v>
      </c>
    </row>
    <row r="900" spans="1:1">
      <c r="A900" s="124">
        <v>63.493099999999998</v>
      </c>
    </row>
    <row r="901" spans="1:1">
      <c r="A901" s="124">
        <v>63.508600000000001</v>
      </c>
    </row>
    <row r="902" spans="1:1">
      <c r="A902" s="124">
        <v>63.383499999999998</v>
      </c>
    </row>
    <row r="903" spans="1:1">
      <c r="A903" s="124">
        <v>63.481200000000001</v>
      </c>
    </row>
    <row r="904" spans="1:1">
      <c r="A904" s="124">
        <v>63.4133</v>
      </c>
    </row>
    <row r="905" spans="1:1">
      <c r="A905" s="124">
        <v>63.300600000000003</v>
      </c>
    </row>
    <row r="906" spans="1:1">
      <c r="A906" s="124">
        <v>63.222999999999999</v>
      </c>
    </row>
    <row r="907" spans="1:1">
      <c r="A907" s="124">
        <v>62.960299999999997</v>
      </c>
    </row>
    <row r="908" spans="1:1">
      <c r="A908" s="124">
        <v>63.104900000000001</v>
      </c>
    </row>
    <row r="909" spans="1:1">
      <c r="A909" s="124">
        <v>63.069600000000001</v>
      </c>
    </row>
    <row r="910" spans="1:1">
      <c r="A910" s="124">
        <v>62.686700000000002</v>
      </c>
    </row>
    <row r="911" spans="1:1">
      <c r="A911" s="124">
        <v>62.5931</v>
      </c>
    </row>
    <row r="912" spans="1:1">
      <c r="A912" s="124">
        <v>62.6965</v>
      </c>
    </row>
    <row r="913" spans="1:1">
      <c r="A913" s="124">
        <v>62.497100000000003</v>
      </c>
    </row>
    <row r="914" spans="1:1">
      <c r="A914" s="124">
        <v>62.5154</v>
      </c>
    </row>
    <row r="915" spans="1:1">
      <c r="A915" s="124">
        <v>62.560499999999998</v>
      </c>
    </row>
    <row r="916" spans="1:1">
      <c r="A916" s="124">
        <v>62.4709</v>
      </c>
    </row>
    <row r="917" spans="1:1">
      <c r="A917" s="124">
        <v>62.350900000000003</v>
      </c>
    </row>
    <row r="918" spans="1:1">
      <c r="A918" s="124">
        <v>62.159199999999998</v>
      </c>
    </row>
    <row r="919" spans="1:1">
      <c r="A919" s="124">
        <v>62.253900000000002</v>
      </c>
    </row>
    <row r="920" spans="1:1">
      <c r="A920" s="124">
        <v>62.155000000000001</v>
      </c>
    </row>
    <row r="921" spans="1:1">
      <c r="A921" s="124">
        <v>62.060299999999998</v>
      </c>
    </row>
    <row r="922" spans="1:1">
      <c r="A922" s="124">
        <v>62.1843</v>
      </c>
    </row>
    <row r="923" spans="1:1">
      <c r="A923" s="124">
        <v>61.9358</v>
      </c>
    </row>
    <row r="924" spans="1:1">
      <c r="A924" s="124">
        <v>61.883800000000001</v>
      </c>
    </row>
    <row r="925" spans="1:1">
      <c r="A925" s="124">
        <v>61.553199999999997</v>
      </c>
    </row>
    <row r="926" spans="1:1">
      <c r="A926" s="124">
        <v>61.705100000000002</v>
      </c>
    </row>
    <row r="927" spans="1:1">
      <c r="A927" s="124">
        <v>61.650700000000001</v>
      </c>
    </row>
    <row r="928" spans="1:1">
      <c r="A928" s="124">
        <v>61.4923</v>
      </c>
    </row>
    <row r="929" spans="1:1">
      <c r="A929" s="124">
        <v>61.378799999999998</v>
      </c>
    </row>
    <row r="930" spans="1:1">
      <c r="A930" s="124">
        <v>61.4726</v>
      </c>
    </row>
    <row r="931" spans="1:1">
      <c r="A931" s="124">
        <v>61.253100000000003</v>
      </c>
    </row>
    <row r="932" spans="1:1">
      <c r="A932" s="124">
        <v>61.279600000000002</v>
      </c>
    </row>
    <row r="933" spans="1:1">
      <c r="A933" s="124">
        <v>61.0899</v>
      </c>
    </row>
    <row r="934" spans="1:1">
      <c r="A934" s="124">
        <v>61.093200000000003</v>
      </c>
    </row>
    <row r="935" spans="1:1">
      <c r="A935" s="124">
        <v>61.0336</v>
      </c>
    </row>
    <row r="936" spans="1:1">
      <c r="A936" s="124">
        <v>60.772199999999998</v>
      </c>
    </row>
    <row r="937" spans="1:1">
      <c r="A937" s="124">
        <v>60.882800000000003</v>
      </c>
    </row>
    <row r="938" spans="1:1">
      <c r="A938" s="124">
        <v>60.746699999999997</v>
      </c>
    </row>
    <row r="939" spans="1:1">
      <c r="A939" s="124">
        <v>60.636499999999998</v>
      </c>
    </row>
    <row r="940" spans="1:1">
      <c r="A940" s="124">
        <v>60.708599999999997</v>
      </c>
    </row>
    <row r="941" spans="1:1">
      <c r="A941" s="124">
        <v>60.631100000000004</v>
      </c>
    </row>
    <row r="942" spans="1:1">
      <c r="A942" s="124">
        <v>60.7102</v>
      </c>
    </row>
    <row r="943" spans="1:1">
      <c r="A943" s="124">
        <v>60.599899999999998</v>
      </c>
    </row>
    <row r="944" spans="1:1">
      <c r="A944" s="124">
        <v>60.443600000000004</v>
      </c>
    </row>
    <row r="945" spans="1:1">
      <c r="A945" s="124">
        <v>60.2776</v>
      </c>
    </row>
    <row r="946" spans="1:1">
      <c r="A946" s="124">
        <v>60.200499999999998</v>
      </c>
    </row>
    <row r="947" spans="1:1">
      <c r="A947" s="124">
        <v>60.0869</v>
      </c>
    </row>
    <row r="948" spans="1:1">
      <c r="A948" s="124">
        <v>60.133000000000003</v>
      </c>
    </row>
    <row r="949" spans="1:1">
      <c r="A949" s="124">
        <v>60.004100000000001</v>
      </c>
    </row>
    <row r="950" spans="1:1">
      <c r="A950" s="124">
        <v>59.758299999999998</v>
      </c>
    </row>
    <row r="951" spans="1:1">
      <c r="A951" s="124">
        <v>59.851199999999999</v>
      </c>
    </row>
    <row r="952" spans="1:1">
      <c r="A952" s="124">
        <v>59.767899999999997</v>
      </c>
    </row>
    <row r="953" spans="1:1">
      <c r="A953" s="124">
        <v>59.564100000000003</v>
      </c>
    </row>
    <row r="954" spans="1:1">
      <c r="A954" s="124">
        <v>59.561799999999998</v>
      </c>
    </row>
    <row r="955" spans="1:1">
      <c r="A955" s="124">
        <v>59.368099999999998</v>
      </c>
    </row>
    <row r="956" spans="1:1">
      <c r="A956" s="124">
        <v>59.255499999999998</v>
      </c>
    </row>
    <row r="957" spans="1:1">
      <c r="A957" s="124">
        <v>59.4298</v>
      </c>
    </row>
    <row r="958" spans="1:1">
      <c r="A958" s="124">
        <v>59.361400000000003</v>
      </c>
    </row>
    <row r="959" spans="1:1">
      <c r="A959" s="124">
        <v>59.290700000000001</v>
      </c>
    </row>
    <row r="960" spans="1:1">
      <c r="A960" s="124">
        <v>59.319899999999997</v>
      </c>
    </row>
    <row r="961" spans="1:1">
      <c r="A961" s="124">
        <v>59.1113</v>
      </c>
    </row>
    <row r="962" spans="1:1">
      <c r="A962" s="124">
        <v>59.078800000000001</v>
      </c>
    </row>
    <row r="963" spans="1:1">
      <c r="A963" s="124">
        <v>58.8767</v>
      </c>
    </row>
    <row r="964" spans="1:1">
      <c r="A964" s="124">
        <v>58.915900000000001</v>
      </c>
    </row>
    <row r="965" spans="1:1">
      <c r="A965" s="124">
        <v>58.8324</v>
      </c>
    </row>
    <row r="966" spans="1:1">
      <c r="A966" s="124">
        <v>58.7502</v>
      </c>
    </row>
    <row r="967" spans="1:1">
      <c r="A967" s="124">
        <v>58.960299999999997</v>
      </c>
    </row>
    <row r="968" spans="1:1">
      <c r="A968" s="124">
        <v>58.854999999999997</v>
      </c>
    </row>
    <row r="969" spans="1:1">
      <c r="A969" s="124">
        <v>58.654400000000003</v>
      </c>
    </row>
    <row r="970" spans="1:1">
      <c r="A970" s="124">
        <v>58.506</v>
      </c>
    </row>
    <row r="971" spans="1:1">
      <c r="A971" s="124">
        <v>58.312899999999999</v>
      </c>
    </row>
    <row r="972" spans="1:1">
      <c r="A972" s="124">
        <v>58.4405</v>
      </c>
    </row>
    <row r="973" spans="1:1">
      <c r="A973" s="124">
        <v>58.284999999999997</v>
      </c>
    </row>
    <row r="974" spans="1:1">
      <c r="A974" s="124">
        <v>58.283999999999999</v>
      </c>
    </row>
    <row r="975" spans="1:1">
      <c r="A975" s="124">
        <v>58.217100000000002</v>
      </c>
    </row>
    <row r="976" spans="1:1">
      <c r="A976" s="124">
        <v>58.080300000000001</v>
      </c>
    </row>
    <row r="977" spans="1:1">
      <c r="A977" s="124">
        <v>58.177799999999998</v>
      </c>
    </row>
    <row r="978" spans="1:1">
      <c r="A978" s="124">
        <v>58.0672</v>
      </c>
    </row>
    <row r="979" spans="1:1">
      <c r="A979" s="124">
        <v>57.845799999999997</v>
      </c>
    </row>
    <row r="980" spans="1:1">
      <c r="A980" s="124">
        <v>57.820500000000003</v>
      </c>
    </row>
    <row r="981" spans="1:1">
      <c r="A981" s="124">
        <v>57.741500000000002</v>
      </c>
    </row>
    <row r="982" spans="1:1">
      <c r="A982" s="124">
        <v>57.689100000000003</v>
      </c>
    </row>
    <row r="983" spans="1:1">
      <c r="A983" s="124">
        <v>57.763500000000001</v>
      </c>
    </row>
    <row r="984" spans="1:1">
      <c r="A984" s="124">
        <v>57.67</v>
      </c>
    </row>
    <row r="985" spans="1:1">
      <c r="A985" s="124">
        <v>57.400599999999997</v>
      </c>
    </row>
    <row r="986" spans="1:1">
      <c r="A986" s="124">
        <v>57.533700000000003</v>
      </c>
    </row>
    <row r="987" spans="1:1">
      <c r="A987" s="124">
        <v>57.484900000000003</v>
      </c>
    </row>
    <row r="988" spans="1:1">
      <c r="A988" s="124">
        <v>57.508499999999998</v>
      </c>
    </row>
    <row r="989" spans="1:1">
      <c r="A989" s="124">
        <v>57.3782</v>
      </c>
    </row>
    <row r="990" spans="1:1">
      <c r="A990" s="124">
        <v>57.300699999999999</v>
      </c>
    </row>
    <row r="991" spans="1:1">
      <c r="A991" s="124">
        <v>57.293100000000003</v>
      </c>
    </row>
    <row r="992" spans="1:1">
      <c r="A992" s="124">
        <v>57.208599999999997</v>
      </c>
    </row>
    <row r="993" spans="1:1">
      <c r="A993" s="124">
        <v>57.285299999999999</v>
      </c>
    </row>
    <row r="994" spans="1:1">
      <c r="A994" s="124">
        <v>56.9587</v>
      </c>
    </row>
    <row r="995" spans="1:1">
      <c r="A995" s="124">
        <v>57.060200000000002</v>
      </c>
    </row>
    <row r="996" spans="1:1">
      <c r="A996" s="124">
        <v>57.118600000000001</v>
      </c>
    </row>
    <row r="997" spans="1:1">
      <c r="A997" s="124">
        <v>56.867199999999997</v>
      </c>
    </row>
    <row r="998" spans="1:1">
      <c r="A998" s="124">
        <v>56.849699999999999</v>
      </c>
    </row>
    <row r="999" spans="1:1">
      <c r="A999" s="124">
        <v>56.897599999999997</v>
      </c>
    </row>
    <row r="1000" spans="1:1">
      <c r="A1000" s="124">
        <v>56.780299999999997</v>
      </c>
    </row>
    <row r="1001" spans="1:1">
      <c r="A1001" s="124">
        <v>56.700400000000002</v>
      </c>
    </row>
    <row r="1002" spans="1:1">
      <c r="A1002" s="124">
        <v>56.408900000000003</v>
      </c>
    </row>
    <row r="1003" spans="1:1">
      <c r="A1003" s="124">
        <v>56.448999999999998</v>
      </c>
    </row>
    <row r="1004" spans="1:1">
      <c r="A1004" s="124">
        <v>56.263399999999997</v>
      </c>
    </row>
    <row r="1005" spans="1:1">
      <c r="A1005" s="124">
        <v>56.359000000000002</v>
      </c>
    </row>
    <row r="1006" spans="1:1">
      <c r="A1006" s="124">
        <v>56.138399999999997</v>
      </c>
    </row>
    <row r="1007" spans="1:1">
      <c r="A1007" s="124">
        <v>55.935899999999997</v>
      </c>
    </row>
    <row r="1008" spans="1:1">
      <c r="A1008" s="124">
        <v>56.078699999999998</v>
      </c>
    </row>
    <row r="1009" spans="1:1">
      <c r="A1009" s="124">
        <v>56.110100000000003</v>
      </c>
    </row>
    <row r="1010" spans="1:1">
      <c r="A1010" s="124">
        <v>55.909399999999998</v>
      </c>
    </row>
    <row r="1011" spans="1:1">
      <c r="A1011" s="124">
        <v>55.872900000000001</v>
      </c>
    </row>
    <row r="1012" spans="1:1">
      <c r="A1012" s="124">
        <v>56.000399999999999</v>
      </c>
    </row>
    <row r="1013" spans="1:1">
      <c r="A1013" s="124">
        <v>55.7742</v>
      </c>
    </row>
    <row r="1014" spans="1:1">
      <c r="A1014" s="124">
        <v>55.706899999999997</v>
      </c>
    </row>
    <row r="1015" spans="1:1">
      <c r="A1015" s="124">
        <v>55.711300000000001</v>
      </c>
    </row>
    <row r="1016" spans="1:1">
      <c r="A1016" s="124">
        <v>55.378</v>
      </c>
    </row>
    <row r="1017" spans="1:1">
      <c r="A1017" s="124">
        <v>55.608600000000003</v>
      </c>
    </row>
    <row r="1018" spans="1:1">
      <c r="A1018" s="124">
        <v>55.696599999999997</v>
      </c>
    </row>
    <row r="1019" spans="1:1">
      <c r="A1019" s="124">
        <v>55.275199999999998</v>
      </c>
    </row>
    <row r="1020" spans="1:1">
      <c r="A1020" s="124">
        <v>55.37</v>
      </c>
    </row>
    <row r="1021" spans="1:1">
      <c r="A1021" s="124">
        <v>55.329300000000003</v>
      </c>
    </row>
    <row r="1022" spans="1:1">
      <c r="A1022" s="124">
        <v>55.125700000000002</v>
      </c>
    </row>
    <row r="1023" spans="1:1">
      <c r="A1023" s="124">
        <v>55.0351</v>
      </c>
    </row>
    <row r="1024" spans="1:1">
      <c r="A1024" s="124">
        <v>54.813099999999999</v>
      </c>
    </row>
    <row r="1025" spans="1:1">
      <c r="A1025" s="124">
        <v>54.8215</v>
      </c>
    </row>
    <row r="1026" spans="1:1">
      <c r="A1026" s="124">
        <v>54.953699999999998</v>
      </c>
    </row>
    <row r="1027" spans="1:1">
      <c r="A1027" s="124">
        <v>54.845500000000001</v>
      </c>
    </row>
    <row r="1028" spans="1:1">
      <c r="A1028" s="124">
        <v>54.892899999999997</v>
      </c>
    </row>
    <row r="1029" spans="1:1">
      <c r="A1029" s="124">
        <v>54.792900000000003</v>
      </c>
    </row>
    <row r="1030" spans="1:1">
      <c r="A1030" s="124">
        <v>54.648600000000002</v>
      </c>
    </row>
    <row r="1031" spans="1:1">
      <c r="A1031" s="124">
        <v>54.395499999999998</v>
      </c>
    </row>
    <row r="1032" spans="1:1">
      <c r="A1032" s="124">
        <v>54.376399999999997</v>
      </c>
    </row>
    <row r="1033" spans="1:1">
      <c r="A1033" s="124">
        <v>54.445099999999996</v>
      </c>
    </row>
    <row r="1034" spans="1:1">
      <c r="A1034" s="124">
        <v>54.4285</v>
      </c>
    </row>
    <row r="1035" spans="1:1">
      <c r="A1035" s="124">
        <v>54.323700000000002</v>
      </c>
    </row>
    <row r="1036" spans="1:1">
      <c r="A1036" s="124">
        <v>54.166699999999999</v>
      </c>
    </row>
    <row r="1037" spans="1:1">
      <c r="A1037" s="124">
        <v>54.247500000000002</v>
      </c>
    </row>
    <row r="1038" spans="1:1">
      <c r="A1038" s="124">
        <v>54.054400000000001</v>
      </c>
    </row>
    <row r="1039" spans="1:1">
      <c r="A1039" s="124">
        <v>53.9465</v>
      </c>
    </row>
    <row r="1040" spans="1:1">
      <c r="A1040" s="124">
        <v>53.887300000000003</v>
      </c>
    </row>
    <row r="1041" spans="1:1">
      <c r="A1041" s="124">
        <v>53.972200000000001</v>
      </c>
    </row>
    <row r="1042" spans="1:1">
      <c r="A1042" s="124">
        <v>53.918500000000002</v>
      </c>
    </row>
    <row r="1043" spans="1:1">
      <c r="A1043" s="124">
        <v>53.785200000000003</v>
      </c>
    </row>
    <row r="1044" spans="1:1">
      <c r="A1044" s="124">
        <v>53.739400000000003</v>
      </c>
    </row>
    <row r="1045" spans="1:1">
      <c r="A1045" s="124">
        <v>53.735100000000003</v>
      </c>
    </row>
    <row r="1046" spans="1:1">
      <c r="A1046" s="124">
        <v>53.716900000000003</v>
      </c>
    </row>
    <row r="1047" spans="1:1">
      <c r="A1047" s="124">
        <v>53.499600000000001</v>
      </c>
    </row>
    <row r="1048" spans="1:1">
      <c r="A1048" s="124">
        <v>53.4026</v>
      </c>
    </row>
    <row r="1049" spans="1:1">
      <c r="A1049" s="124">
        <v>53.336599999999997</v>
      </c>
    </row>
    <row r="1050" spans="1:1">
      <c r="A1050" s="124">
        <v>53.213299999999997</v>
      </c>
    </row>
    <row r="1051" spans="1:1">
      <c r="A1051" s="124">
        <v>53.065899999999999</v>
      </c>
    </row>
    <row r="1052" spans="1:1">
      <c r="A1052" s="124">
        <v>52.926699999999997</v>
      </c>
    </row>
    <row r="1053" spans="1:1">
      <c r="A1053" s="124">
        <v>53.157499999999999</v>
      </c>
    </row>
    <row r="1054" spans="1:1">
      <c r="A1054" s="124">
        <v>52.930100000000003</v>
      </c>
    </row>
    <row r="1055" spans="1:1">
      <c r="A1055" s="124">
        <v>52.767299999999999</v>
      </c>
    </row>
    <row r="1056" spans="1:1">
      <c r="A1056" s="124">
        <v>52.664499999999997</v>
      </c>
    </row>
    <row r="1057" spans="1:1">
      <c r="A1057" s="124">
        <v>52.814700000000002</v>
      </c>
    </row>
    <row r="1058" spans="1:1">
      <c r="A1058" s="124">
        <v>52.835299999999997</v>
      </c>
    </row>
    <row r="1059" spans="1:1">
      <c r="A1059" s="124">
        <v>52.761800000000001</v>
      </c>
    </row>
    <row r="1060" spans="1:1">
      <c r="A1060" s="124">
        <v>52.682299999999998</v>
      </c>
    </row>
    <row r="1061" spans="1:1">
      <c r="A1061" s="124">
        <v>52.626100000000001</v>
      </c>
    </row>
    <row r="1062" spans="1:1">
      <c r="A1062" s="124">
        <v>52.465899999999998</v>
      </c>
    </row>
    <row r="1063" spans="1:1">
      <c r="A1063" s="124">
        <v>52.416200000000003</v>
      </c>
    </row>
    <row r="1064" spans="1:1">
      <c r="A1064" s="124">
        <v>52.3583</v>
      </c>
    </row>
    <row r="1065" spans="1:1">
      <c r="A1065" s="124">
        <v>52.287999999999997</v>
      </c>
    </row>
    <row r="1066" spans="1:1">
      <c r="A1066" s="124">
        <v>52.305700000000002</v>
      </c>
    </row>
    <row r="1067" spans="1:1">
      <c r="A1067" s="124">
        <v>52.123399999999997</v>
      </c>
    </row>
    <row r="1068" spans="1:1">
      <c r="A1068" s="124">
        <v>52.022399999999998</v>
      </c>
    </row>
    <row r="1069" spans="1:1">
      <c r="A1069" s="124">
        <v>52.265300000000003</v>
      </c>
    </row>
    <row r="1070" spans="1:1">
      <c r="A1070" s="124">
        <v>52.028199999999998</v>
      </c>
    </row>
    <row r="1071" spans="1:1">
      <c r="A1071" s="124">
        <v>51.9694</v>
      </c>
    </row>
    <row r="1072" spans="1:1">
      <c r="A1072" s="124">
        <v>52.012099999999997</v>
      </c>
    </row>
    <row r="1073" spans="1:1">
      <c r="A1073" s="124">
        <v>51.914900000000003</v>
      </c>
    </row>
    <row r="1074" spans="1:1">
      <c r="A1074" s="124">
        <v>51.835999999999999</v>
      </c>
    </row>
    <row r="1075" spans="1:1">
      <c r="A1075" s="124">
        <v>51.783000000000001</v>
      </c>
    </row>
    <row r="1076" spans="1:1">
      <c r="A1076" s="124">
        <v>51.587800000000001</v>
      </c>
    </row>
    <row r="1077" spans="1:1">
      <c r="A1077" s="124">
        <v>51.576599999999999</v>
      </c>
    </row>
    <row r="1078" spans="1:1">
      <c r="A1078" s="124">
        <v>51.655099999999997</v>
      </c>
    </row>
    <row r="1079" spans="1:1">
      <c r="A1079" s="124">
        <v>51.6312</v>
      </c>
    </row>
    <row r="1080" spans="1:1">
      <c r="A1080" s="124">
        <v>51.556399999999996</v>
      </c>
    </row>
    <row r="1081" spans="1:1">
      <c r="A1081" s="124">
        <v>51.508899999999997</v>
      </c>
    </row>
    <row r="1082" spans="1:1">
      <c r="A1082" s="124">
        <v>51.335999999999999</v>
      </c>
    </row>
    <row r="1083" spans="1:1">
      <c r="A1083" s="124">
        <v>51.217500000000001</v>
      </c>
    </row>
    <row r="1084" spans="1:1">
      <c r="A1084" s="124">
        <v>51.305300000000003</v>
      </c>
    </row>
    <row r="1085" spans="1:1">
      <c r="A1085" s="124">
        <v>51.321899999999999</v>
      </c>
    </row>
    <row r="1086" spans="1:1">
      <c r="A1086" s="124">
        <v>51.104199999999999</v>
      </c>
    </row>
    <row r="1087" spans="1:1">
      <c r="A1087" s="124">
        <v>51.158099999999997</v>
      </c>
    </row>
    <row r="1088" spans="1:1">
      <c r="A1088" s="124">
        <v>51.171500000000002</v>
      </c>
    </row>
    <row r="1089" spans="1:1">
      <c r="A1089" s="124">
        <v>50.9589</v>
      </c>
    </row>
    <row r="1090" spans="1:1">
      <c r="A1090" s="124">
        <v>51.011299999999999</v>
      </c>
    </row>
    <row r="1091" spans="1:1">
      <c r="A1091" s="124">
        <v>50.909100000000002</v>
      </c>
    </row>
    <row r="1092" spans="1:1">
      <c r="A1092" s="124">
        <v>50.962499999999999</v>
      </c>
    </row>
    <row r="1093" spans="1:1">
      <c r="A1093" s="124">
        <v>50.885399999999997</v>
      </c>
    </row>
    <row r="1094" spans="1:1">
      <c r="A1094" s="124">
        <v>50.668300000000002</v>
      </c>
    </row>
    <row r="1095" spans="1:1">
      <c r="A1095" s="124">
        <v>50.769500000000001</v>
      </c>
    </row>
    <row r="1096" spans="1:1">
      <c r="A1096" s="124">
        <v>50.573599999999999</v>
      </c>
    </row>
    <row r="1097" spans="1:1">
      <c r="A1097" s="124">
        <v>50.308300000000003</v>
      </c>
    </row>
    <row r="1098" spans="1:1">
      <c r="A1098" s="124">
        <v>50.458300000000001</v>
      </c>
    </row>
    <row r="1099" spans="1:1">
      <c r="A1099" s="124">
        <v>50.496899999999997</v>
      </c>
    </row>
    <row r="1100" spans="1:1">
      <c r="A1100" s="124">
        <v>50.257599999999996</v>
      </c>
    </row>
    <row r="1101" spans="1:1">
      <c r="A1101" s="124">
        <v>50.333399999999997</v>
      </c>
    </row>
    <row r="1102" spans="1:1">
      <c r="A1102" s="124">
        <v>50.131500000000003</v>
      </c>
    </row>
    <row r="1103" spans="1:1">
      <c r="A1103" s="124">
        <v>50.271299999999997</v>
      </c>
    </row>
    <row r="1104" spans="1:1">
      <c r="A1104" s="124">
        <v>50.142299999999999</v>
      </c>
    </row>
    <row r="1105" spans="1:1">
      <c r="A1105" s="124">
        <v>50.105600000000003</v>
      </c>
    </row>
    <row r="1106" spans="1:1">
      <c r="A1106" s="124">
        <v>50.099800000000002</v>
      </c>
    </row>
    <row r="1107" spans="1:1">
      <c r="A1107" s="124">
        <v>49.9133</v>
      </c>
    </row>
    <row r="1108" spans="1:1">
      <c r="A1108" s="124">
        <v>49.909300000000002</v>
      </c>
    </row>
    <row r="1109" spans="1:1">
      <c r="A1109" s="124">
        <v>49.814799999999998</v>
      </c>
    </row>
    <row r="1110" spans="1:1">
      <c r="A1110" s="124">
        <v>49.715299999999999</v>
      </c>
    </row>
    <row r="1111" spans="1:1">
      <c r="A1111" s="124">
        <v>49.6417</v>
      </c>
    </row>
    <row r="1112" spans="1:1">
      <c r="A1112" s="124">
        <v>49.6892</v>
      </c>
    </row>
    <row r="1113" spans="1:1">
      <c r="A1113" s="124">
        <v>49.538400000000003</v>
      </c>
    </row>
    <row r="1114" spans="1:1">
      <c r="A1114" s="124">
        <v>49.549599999999998</v>
      </c>
    </row>
    <row r="1115" spans="1:1">
      <c r="A1115" s="124">
        <v>49.604599999999998</v>
      </c>
    </row>
    <row r="1116" spans="1:1">
      <c r="A1116" s="124">
        <v>49.428100000000001</v>
      </c>
    </row>
    <row r="1117" spans="1:1">
      <c r="A1117" s="124">
        <v>49.162199999999999</v>
      </c>
    </row>
    <row r="1118" spans="1:1">
      <c r="A1118" s="124">
        <v>49.175600000000003</v>
      </c>
    </row>
    <row r="1119" spans="1:1">
      <c r="A1119" s="124">
        <v>49.175899999999999</v>
      </c>
    </row>
    <row r="1120" spans="1:1">
      <c r="A1120" s="124">
        <v>49.136299999999999</v>
      </c>
    </row>
    <row r="1121" spans="1:1">
      <c r="A1121" s="124">
        <v>49.021099999999997</v>
      </c>
    </row>
    <row r="1122" spans="1:1">
      <c r="A1122" s="124">
        <v>48.960299999999997</v>
      </c>
    </row>
    <row r="1123" spans="1:1">
      <c r="A1123" s="124">
        <v>48.642099999999999</v>
      </c>
    </row>
    <row r="1124" spans="1:1">
      <c r="A1124" s="124">
        <v>48.500100000000003</v>
      </c>
    </row>
    <row r="1125" spans="1:1">
      <c r="A1125" s="124">
        <v>48.788800000000002</v>
      </c>
    </row>
    <row r="1126" spans="1:1">
      <c r="A1126" s="124">
        <v>48.745399999999997</v>
      </c>
    </row>
    <row r="1127" spans="1:1">
      <c r="A1127" s="124">
        <v>48.515300000000003</v>
      </c>
    </row>
    <row r="1128" spans="1:1">
      <c r="A1128" s="124">
        <v>48.658200000000001</v>
      </c>
    </row>
    <row r="1129" spans="1:1">
      <c r="A1129" s="124">
        <v>48.788899999999998</v>
      </c>
    </row>
    <row r="1130" spans="1:1">
      <c r="A1130" s="124">
        <v>48.756399999999999</v>
      </c>
    </row>
    <row r="1131" spans="1:1">
      <c r="A1131" s="124">
        <v>48.563800000000001</v>
      </c>
    </row>
    <row r="1132" spans="1:1">
      <c r="A1132" s="124">
        <v>48.2928</v>
      </c>
    </row>
    <row r="1133" spans="1:1">
      <c r="A1133" s="124">
        <v>48.3202</v>
      </c>
    </row>
    <row r="1134" spans="1:1">
      <c r="A1134" s="124">
        <v>48.136800000000001</v>
      </c>
    </row>
    <row r="1135" spans="1:1">
      <c r="A1135" s="124">
        <v>48.211399999999998</v>
      </c>
    </row>
    <row r="1136" spans="1:1">
      <c r="A1136" s="124">
        <v>48.044400000000003</v>
      </c>
    </row>
    <row r="1137" spans="1:1">
      <c r="A1137" s="124">
        <v>48.125300000000003</v>
      </c>
    </row>
    <row r="1138" spans="1:1">
      <c r="A1138" s="124">
        <v>47.9803</v>
      </c>
    </row>
    <row r="1139" spans="1:1">
      <c r="A1139" s="124">
        <v>47.902799999999999</v>
      </c>
    </row>
    <row r="1140" spans="1:1">
      <c r="A1140" s="124">
        <v>47.957299999999996</v>
      </c>
    </row>
    <row r="1141" spans="1:1">
      <c r="A1141" s="124">
        <v>47.8767</v>
      </c>
    </row>
    <row r="1142" spans="1:1">
      <c r="A1142" s="124">
        <v>47.661900000000003</v>
      </c>
    </row>
    <row r="1143" spans="1:1">
      <c r="A1143" s="124">
        <v>47.667299999999997</v>
      </c>
    </row>
    <row r="1144" spans="1:1">
      <c r="A1144" s="124">
        <v>47.759900000000002</v>
      </c>
    </row>
    <row r="1145" spans="1:1">
      <c r="A1145" s="124">
        <v>47.444800000000001</v>
      </c>
    </row>
    <row r="1146" spans="1:1">
      <c r="A1146" s="124">
        <v>47.4983</v>
      </c>
    </row>
    <row r="1147" spans="1:1">
      <c r="A1147" s="124">
        <v>47.516500000000001</v>
      </c>
    </row>
    <row r="1148" spans="1:1">
      <c r="A1148" s="124">
        <v>47.608600000000003</v>
      </c>
    </row>
    <row r="1149" spans="1:1">
      <c r="A1149" s="124">
        <v>47.295999999999999</v>
      </c>
    </row>
    <row r="1150" spans="1:1">
      <c r="A1150" s="124">
        <v>47.210099999999997</v>
      </c>
    </row>
    <row r="1151" spans="1:1">
      <c r="A1151" s="124">
        <v>47.256300000000003</v>
      </c>
    </row>
    <row r="1152" spans="1:1">
      <c r="A1152" s="124">
        <v>47.183900000000001</v>
      </c>
    </row>
    <row r="1153" spans="1:1">
      <c r="A1153" s="124">
        <v>47.2226</v>
      </c>
    </row>
    <row r="1154" spans="1:1">
      <c r="A1154" s="124">
        <v>47.0916</v>
      </c>
    </row>
    <row r="1155" spans="1:1">
      <c r="A1155" s="124">
        <v>47.184899999999999</v>
      </c>
    </row>
    <row r="1156" spans="1:1">
      <c r="A1156" s="124">
        <v>47.346899999999998</v>
      </c>
    </row>
    <row r="1157" spans="1:1">
      <c r="A1157" s="124">
        <v>47.146599999999999</v>
      </c>
    </row>
    <row r="1158" spans="1:1">
      <c r="A1158" s="124">
        <v>47.169199999999996</v>
      </c>
    </row>
    <row r="1159" spans="1:1">
      <c r="A1159" s="124">
        <v>47.014600000000002</v>
      </c>
    </row>
    <row r="1160" spans="1:1">
      <c r="A1160" s="124">
        <v>46.9557</v>
      </c>
    </row>
    <row r="1161" spans="1:1">
      <c r="A1161" s="124">
        <v>47.070799999999998</v>
      </c>
    </row>
    <row r="1162" spans="1:1">
      <c r="A1162" s="124">
        <v>46.769300000000001</v>
      </c>
    </row>
    <row r="1163" spans="1:1">
      <c r="A1163" s="124">
        <v>46.764299999999999</v>
      </c>
    </row>
    <row r="1164" spans="1:1">
      <c r="A1164" s="124">
        <v>46.783299999999997</v>
      </c>
    </row>
    <row r="1165" spans="1:1">
      <c r="A1165" s="124">
        <v>46.578600000000002</v>
      </c>
    </row>
    <row r="1166" spans="1:1">
      <c r="A1166" s="124">
        <v>46.571199999999997</v>
      </c>
    </row>
    <row r="1167" spans="1:1">
      <c r="A1167" s="124">
        <v>46.453400000000002</v>
      </c>
    </row>
    <row r="1168" spans="1:1">
      <c r="A1168" s="124">
        <v>46.705300000000001</v>
      </c>
    </row>
    <row r="1169" spans="1:1">
      <c r="A1169" s="124">
        <v>46.383800000000001</v>
      </c>
    </row>
    <row r="1170" spans="1:1">
      <c r="A1170" s="124">
        <v>46.288899999999998</v>
      </c>
    </row>
    <row r="1171" spans="1:1">
      <c r="A1171" s="124">
        <v>46.290799999999997</v>
      </c>
    </row>
    <row r="1172" spans="1:1">
      <c r="A1172" s="124">
        <v>46.253100000000003</v>
      </c>
    </row>
    <row r="1173" spans="1:1">
      <c r="A1173" s="124">
        <v>46.186799999999998</v>
      </c>
    </row>
    <row r="1174" spans="1:1">
      <c r="A1174" s="124">
        <v>46.177</v>
      </c>
    </row>
    <row r="1175" spans="1:1">
      <c r="A1175" s="124">
        <v>46.0413</v>
      </c>
    </row>
    <row r="1176" spans="1:1">
      <c r="A1176" s="124">
        <v>46.065100000000001</v>
      </c>
    </row>
    <row r="1177" spans="1:1">
      <c r="A1177" s="124">
        <v>46.055900000000001</v>
      </c>
    </row>
    <row r="1178" spans="1:1">
      <c r="A1178" s="124">
        <v>45.828200000000002</v>
      </c>
    </row>
    <row r="1179" spans="1:1">
      <c r="A1179" s="124">
        <v>45.7744</v>
      </c>
    </row>
    <row r="1180" spans="1:1">
      <c r="A1180" s="124">
        <v>45.904499999999999</v>
      </c>
    </row>
    <row r="1181" spans="1:1">
      <c r="A1181" s="124">
        <v>45.985300000000002</v>
      </c>
    </row>
    <row r="1182" spans="1:1">
      <c r="A1182" s="124">
        <v>45.8536</v>
      </c>
    </row>
    <row r="1183" spans="1:1">
      <c r="A1183" s="124">
        <v>45.649799999999999</v>
      </c>
    </row>
    <row r="1184" spans="1:1">
      <c r="A1184" s="124">
        <v>45.7851</v>
      </c>
    </row>
    <row r="1185" spans="1:1">
      <c r="A1185" s="124">
        <v>45.610199999999999</v>
      </c>
    </row>
    <row r="1186" spans="1:1">
      <c r="A1186" s="124">
        <v>45.672199999999997</v>
      </c>
    </row>
    <row r="1187" spans="1:1">
      <c r="A1187" s="124">
        <v>45.349899999999998</v>
      </c>
    </row>
    <row r="1188" spans="1:1">
      <c r="A1188" s="124">
        <v>45.376800000000003</v>
      </c>
    </row>
    <row r="1189" spans="1:1">
      <c r="A1189" s="124">
        <v>45.332000000000001</v>
      </c>
    </row>
    <row r="1190" spans="1:1">
      <c r="A1190" s="124">
        <v>45.2605</v>
      </c>
    </row>
    <row r="1191" spans="1:1">
      <c r="A1191" s="124">
        <v>45.176099999999998</v>
      </c>
    </row>
    <row r="1192" spans="1:1">
      <c r="A1192" s="124">
        <v>45.182000000000002</v>
      </c>
    </row>
    <row r="1193" spans="1:1">
      <c r="A1193" s="124">
        <v>45.256799999999998</v>
      </c>
    </row>
    <row r="1194" spans="1:1">
      <c r="A1194" s="124">
        <v>45.065300000000001</v>
      </c>
    </row>
    <row r="1195" spans="1:1">
      <c r="A1195" s="124">
        <v>45.113199999999999</v>
      </c>
    </row>
    <row r="1196" spans="1:1">
      <c r="A1196" s="124">
        <v>44.8902</v>
      </c>
    </row>
    <row r="1197" spans="1:1">
      <c r="A1197" s="124">
        <v>45.003300000000003</v>
      </c>
    </row>
    <row r="1198" spans="1:1">
      <c r="A1198" s="124">
        <v>44.793399999999998</v>
      </c>
    </row>
    <row r="1199" spans="1:1">
      <c r="A1199" s="124">
        <v>44.808</v>
      </c>
    </row>
    <row r="1200" spans="1:1">
      <c r="A1200" s="124">
        <v>44.759300000000003</v>
      </c>
    </row>
    <row r="1201" spans="1:1">
      <c r="A1201" s="124">
        <v>44.725700000000003</v>
      </c>
    </row>
    <row r="1202" spans="1:1">
      <c r="A1202" s="124">
        <v>44.707000000000001</v>
      </c>
    </row>
    <row r="1203" spans="1:1">
      <c r="A1203" s="124">
        <v>44.5839</v>
      </c>
    </row>
    <row r="1204" spans="1:1">
      <c r="A1204" s="124">
        <v>44.634999999999998</v>
      </c>
    </row>
    <row r="1205" spans="1:1">
      <c r="A1205" s="124">
        <v>44.409500000000001</v>
      </c>
    </row>
    <row r="1206" spans="1:1">
      <c r="A1206" s="124">
        <v>44.418999999999997</v>
      </c>
    </row>
    <row r="1207" spans="1:1">
      <c r="A1207" s="124">
        <v>44.509399999999999</v>
      </c>
    </row>
    <row r="1208" spans="1:1">
      <c r="A1208" s="124">
        <v>44.294600000000003</v>
      </c>
    </row>
    <row r="1209" spans="1:1">
      <c r="A1209" s="124">
        <v>44.393900000000002</v>
      </c>
    </row>
    <row r="1210" spans="1:1">
      <c r="A1210" s="124">
        <v>44.323700000000002</v>
      </c>
    </row>
    <row r="1211" spans="1:1">
      <c r="A1211" s="124">
        <v>44.253999999999998</v>
      </c>
    </row>
    <row r="1212" spans="1:1">
      <c r="A1212" s="124">
        <v>44.167200000000001</v>
      </c>
    </row>
    <row r="1213" spans="1:1">
      <c r="A1213" s="124">
        <v>44.168999999999997</v>
      </c>
    </row>
    <row r="1214" spans="1:1">
      <c r="A1214" s="124">
        <v>44.1494</v>
      </c>
    </row>
    <row r="1215" spans="1:1">
      <c r="A1215" s="124">
        <v>44.117800000000003</v>
      </c>
    </row>
    <row r="1216" spans="1:1">
      <c r="A1216" s="124">
        <v>43.956099999999999</v>
      </c>
    </row>
    <row r="1217" spans="1:1">
      <c r="A1217" s="124">
        <v>44.010100000000001</v>
      </c>
    </row>
    <row r="1218" spans="1:1">
      <c r="A1218" s="124">
        <v>43.962200000000003</v>
      </c>
    </row>
    <row r="1219" spans="1:1">
      <c r="A1219" s="124">
        <v>43.723399999999998</v>
      </c>
    </row>
    <row r="1220" spans="1:1">
      <c r="A1220" s="124">
        <v>43.596800000000002</v>
      </c>
    </row>
    <row r="1221" spans="1:1">
      <c r="A1221" s="124">
        <v>43.730600000000003</v>
      </c>
    </row>
    <row r="1222" spans="1:1">
      <c r="A1222" s="124">
        <v>43.607300000000002</v>
      </c>
    </row>
    <row r="1223" spans="1:1">
      <c r="A1223" s="124">
        <v>43.466999999999999</v>
      </c>
    </row>
    <row r="1224" spans="1:1">
      <c r="A1224" s="124">
        <v>43.688899999999997</v>
      </c>
    </row>
    <row r="1225" spans="1:1">
      <c r="A1225" s="124">
        <v>43.627400000000002</v>
      </c>
    </row>
    <row r="1226" spans="1:1">
      <c r="A1226" s="124">
        <v>43.6785</v>
      </c>
    </row>
    <row r="1227" spans="1:1">
      <c r="A1227" s="124">
        <v>43.344799999999999</v>
      </c>
    </row>
    <row r="1228" spans="1:1">
      <c r="A1228" s="124">
        <v>43.540700000000001</v>
      </c>
    </row>
    <row r="1229" spans="1:1">
      <c r="A1229" s="124">
        <v>43.423699999999997</v>
      </c>
    </row>
    <row r="1230" spans="1:1">
      <c r="A1230" s="124">
        <v>43.421799999999998</v>
      </c>
    </row>
    <row r="1231" spans="1:1">
      <c r="A1231" s="124">
        <v>43.276899999999998</v>
      </c>
    </row>
    <row r="1232" spans="1:1">
      <c r="A1232" s="124">
        <v>43.230699999999999</v>
      </c>
    </row>
    <row r="1233" spans="1:1">
      <c r="A1233" s="124">
        <v>43.035299999999999</v>
      </c>
    </row>
    <row r="1234" spans="1:1">
      <c r="A1234" s="124">
        <v>43.029600000000002</v>
      </c>
    </row>
    <row r="1235" spans="1:1">
      <c r="A1235" s="124">
        <v>43.071399999999997</v>
      </c>
    </row>
    <row r="1236" spans="1:1">
      <c r="A1236" s="124">
        <v>43.081000000000003</v>
      </c>
    </row>
    <row r="1237" spans="1:1">
      <c r="A1237" s="124">
        <v>43.054499999999997</v>
      </c>
    </row>
    <row r="1238" spans="1:1">
      <c r="A1238" s="124">
        <v>42.872100000000003</v>
      </c>
    </row>
    <row r="1239" spans="1:1">
      <c r="A1239" s="124">
        <v>42.939700000000002</v>
      </c>
    </row>
    <row r="1240" spans="1:1">
      <c r="A1240" s="124">
        <v>42.775500000000001</v>
      </c>
    </row>
    <row r="1241" spans="1:1">
      <c r="A1241" s="124">
        <v>42.728499999999997</v>
      </c>
    </row>
    <row r="1242" spans="1:1">
      <c r="A1242" s="124">
        <v>42.719700000000003</v>
      </c>
    </row>
    <row r="1243" spans="1:1">
      <c r="A1243" s="124">
        <v>42.686100000000003</v>
      </c>
    </row>
    <row r="1244" spans="1:1">
      <c r="A1244" s="124">
        <v>42.5899</v>
      </c>
    </row>
    <row r="1245" spans="1:1">
      <c r="A1245" s="124">
        <v>42.627899999999997</v>
      </c>
    </row>
    <row r="1246" spans="1:1">
      <c r="A1246" s="124">
        <v>42.561399999999999</v>
      </c>
    </row>
    <row r="1247" spans="1:1">
      <c r="A1247" s="124">
        <v>42.4846</v>
      </c>
    </row>
    <row r="1248" spans="1:1">
      <c r="A1248" s="124">
        <v>42.366300000000003</v>
      </c>
    </row>
    <row r="1249" spans="1:1">
      <c r="A1249" s="124">
        <v>42.211100000000002</v>
      </c>
    </row>
    <row r="1250" spans="1:1">
      <c r="A1250" s="124">
        <v>42.146999999999998</v>
      </c>
    </row>
    <row r="1251" spans="1:1">
      <c r="A1251" s="124">
        <v>42.14</v>
      </c>
    </row>
    <row r="1252" spans="1:1">
      <c r="A1252" s="124">
        <v>42.148600000000002</v>
      </c>
    </row>
    <row r="1253" spans="1:1">
      <c r="A1253" s="124">
        <v>42.205800000000004</v>
      </c>
    </row>
    <row r="1254" spans="1:1">
      <c r="A1254" s="124">
        <v>42.083500000000001</v>
      </c>
    </row>
    <row r="1255" spans="1:1">
      <c r="A1255" s="124">
        <v>41.905000000000001</v>
      </c>
    </row>
    <row r="1256" spans="1:1">
      <c r="A1256" s="124">
        <v>42.057299999999998</v>
      </c>
    </row>
    <row r="1257" spans="1:1">
      <c r="A1257" s="124">
        <v>42.070799999999998</v>
      </c>
    </row>
    <row r="1258" spans="1:1">
      <c r="A1258" s="124">
        <v>42.001899999999999</v>
      </c>
    </row>
    <row r="1259" spans="1:1">
      <c r="A1259" s="124">
        <v>41.863</v>
      </c>
    </row>
    <row r="1260" spans="1:1">
      <c r="A1260" s="124">
        <v>41.803400000000003</v>
      </c>
    </row>
    <row r="1261" spans="1:1">
      <c r="A1261" s="124">
        <v>41.7014</v>
      </c>
    </row>
    <row r="1262" spans="1:1">
      <c r="A1262" s="124">
        <v>41.804499999999997</v>
      </c>
    </row>
    <row r="1263" spans="1:1">
      <c r="A1263" s="124">
        <v>41.802399999999999</v>
      </c>
    </row>
    <row r="1264" spans="1:1">
      <c r="A1264" s="124">
        <v>41.716299999999997</v>
      </c>
    </row>
    <row r="1265" spans="1:1">
      <c r="A1265" s="124">
        <v>41.5443</v>
      </c>
    </row>
    <row r="1266" spans="1:1">
      <c r="A1266" s="124">
        <v>41.685600000000001</v>
      </c>
    </row>
    <row r="1267" spans="1:1">
      <c r="A1267" s="124">
        <v>41.536799999999999</v>
      </c>
    </row>
    <row r="1268" spans="1:1">
      <c r="A1268" s="124">
        <v>41.204900000000002</v>
      </c>
    </row>
    <row r="1269" spans="1:1">
      <c r="A1269" s="124">
        <v>41.573900000000002</v>
      </c>
    </row>
    <row r="1270" spans="1:1">
      <c r="A1270" s="124">
        <v>41.411799999999999</v>
      </c>
    </row>
    <row r="1271" spans="1:1">
      <c r="A1271" s="124">
        <v>41.057699999999997</v>
      </c>
    </row>
    <row r="1272" spans="1:1">
      <c r="A1272" s="124">
        <v>41.106499999999997</v>
      </c>
    </row>
    <row r="1273" spans="1:1">
      <c r="A1273" s="124">
        <v>41.121099999999998</v>
      </c>
    </row>
    <row r="1274" spans="1:1">
      <c r="A1274" s="124">
        <v>41.171100000000003</v>
      </c>
    </row>
    <row r="1275" spans="1:1">
      <c r="A1275" s="124">
        <v>41.0167</v>
      </c>
    </row>
    <row r="1276" spans="1:1">
      <c r="A1276" s="124">
        <v>40.828200000000002</v>
      </c>
    </row>
    <row r="1277" spans="1:1">
      <c r="A1277" s="124">
        <v>40.918500000000002</v>
      </c>
    </row>
    <row r="1278" spans="1:1">
      <c r="A1278" s="124">
        <v>41.0259</v>
      </c>
    </row>
    <row r="1279" spans="1:1">
      <c r="A1279" s="124">
        <v>40.7044</v>
      </c>
    </row>
    <row r="1280" spans="1:1">
      <c r="A1280" s="124">
        <v>40.925600000000003</v>
      </c>
    </row>
    <row r="1281" spans="1:1">
      <c r="A1281" s="124">
        <v>40.661000000000001</v>
      </c>
    </row>
    <row r="1282" spans="1:1">
      <c r="A1282" s="124">
        <v>40.7744</v>
      </c>
    </row>
    <row r="1283" spans="1:1">
      <c r="A1283" s="124">
        <v>40.716000000000001</v>
      </c>
    </row>
    <row r="1284" spans="1:1">
      <c r="A1284" s="124">
        <v>40.6143</v>
      </c>
    </row>
    <row r="1285" spans="1:1">
      <c r="A1285" s="124">
        <v>40.551699999999997</v>
      </c>
    </row>
    <row r="1286" spans="1:1">
      <c r="A1286" s="124">
        <v>40.5214</v>
      </c>
    </row>
    <row r="1287" spans="1:1">
      <c r="A1287" s="124">
        <v>40.413200000000003</v>
      </c>
    </row>
    <row r="1288" spans="1:1">
      <c r="A1288" s="124">
        <v>40.425800000000002</v>
      </c>
    </row>
    <row r="1289" spans="1:1">
      <c r="A1289" s="124">
        <v>40.253599999999999</v>
      </c>
    </row>
    <row r="1290" spans="1:1">
      <c r="A1290" s="124">
        <v>40.305799999999998</v>
      </c>
    </row>
    <row r="1291" spans="1:1">
      <c r="A1291" s="124">
        <v>40.248199999999997</v>
      </c>
    </row>
    <row r="1292" spans="1:1">
      <c r="A1292" s="124">
        <v>40.075000000000003</v>
      </c>
    </row>
    <row r="1293" spans="1:1">
      <c r="A1293" s="124">
        <v>39.9908</v>
      </c>
    </row>
    <row r="1294" spans="1:1">
      <c r="A1294" s="124">
        <v>40.152299999999997</v>
      </c>
    </row>
    <row r="1295" spans="1:1">
      <c r="A1295" s="124">
        <v>40.062100000000001</v>
      </c>
    </row>
    <row r="1296" spans="1:1">
      <c r="A1296" s="124">
        <v>40.033499999999997</v>
      </c>
    </row>
    <row r="1297" spans="1:1">
      <c r="A1297" s="124">
        <v>39.748899999999999</v>
      </c>
    </row>
    <row r="1298" spans="1:1">
      <c r="A1298" s="124">
        <v>39.951500000000003</v>
      </c>
    </row>
    <row r="1299" spans="1:1">
      <c r="A1299" s="124">
        <v>39.810400000000001</v>
      </c>
    </row>
    <row r="1300" spans="1:1">
      <c r="A1300" s="124">
        <v>39.746600000000001</v>
      </c>
    </row>
    <row r="1301" spans="1:1">
      <c r="A1301" s="124">
        <v>39.902700000000003</v>
      </c>
    </row>
    <row r="1302" spans="1:1">
      <c r="A1302" s="124">
        <v>39.781999999999996</v>
      </c>
    </row>
    <row r="1303" spans="1:1">
      <c r="A1303" s="124">
        <v>39.798000000000002</v>
      </c>
    </row>
    <row r="1304" spans="1:1">
      <c r="A1304" s="124">
        <v>39.706400000000002</v>
      </c>
    </row>
    <row r="1305" spans="1:1">
      <c r="A1305" s="124">
        <v>39.747599999999998</v>
      </c>
    </row>
    <row r="1306" spans="1:1">
      <c r="A1306" s="124">
        <v>39.744</v>
      </c>
    </row>
    <row r="1307" spans="1:1">
      <c r="A1307" s="124">
        <v>39.580800000000004</v>
      </c>
    </row>
    <row r="1308" spans="1:1">
      <c r="A1308" s="124">
        <v>39.376600000000003</v>
      </c>
    </row>
    <row r="1309" spans="1:1">
      <c r="A1309" s="124">
        <v>39.2346</v>
      </c>
    </row>
    <row r="1310" spans="1:1">
      <c r="A1310" s="124">
        <v>39.323599999999999</v>
      </c>
    </row>
    <row r="1311" spans="1:1">
      <c r="A1311" s="124">
        <v>39.268500000000003</v>
      </c>
    </row>
    <row r="1312" spans="1:1">
      <c r="A1312" s="124">
        <v>39.213099999999997</v>
      </c>
    </row>
    <row r="1313" spans="1:1">
      <c r="A1313" s="124">
        <v>38.913899999999998</v>
      </c>
    </row>
    <row r="1314" spans="1:1">
      <c r="A1314" s="124">
        <v>39.159100000000002</v>
      </c>
    </row>
    <row r="1315" spans="1:1">
      <c r="A1315" s="124">
        <v>39.049300000000002</v>
      </c>
    </row>
    <row r="1316" spans="1:1">
      <c r="A1316" s="124">
        <v>39.018900000000002</v>
      </c>
    </row>
    <row r="1317" spans="1:1">
      <c r="A1317" s="124">
        <v>38.969700000000003</v>
      </c>
    </row>
    <row r="1318" spans="1:1">
      <c r="A1318" s="124">
        <v>38.777799999999999</v>
      </c>
    </row>
    <row r="1319" spans="1:1">
      <c r="A1319" s="124">
        <v>38.670999999999999</v>
      </c>
    </row>
    <row r="1320" spans="1:1">
      <c r="A1320" s="124">
        <v>38.759</v>
      </c>
    </row>
    <row r="1321" spans="1:1">
      <c r="A1321" s="124">
        <v>38.602800000000002</v>
      </c>
    </row>
    <row r="1322" spans="1:1">
      <c r="A1322" s="124">
        <v>38.675800000000002</v>
      </c>
    </row>
    <row r="1323" spans="1:1">
      <c r="A1323" s="124">
        <v>38.807299999999998</v>
      </c>
    </row>
    <row r="1324" spans="1:1">
      <c r="A1324" s="124">
        <v>38.618899999999996</v>
      </c>
    </row>
    <row r="1325" spans="1:1">
      <c r="A1325" s="124">
        <v>38.655200000000001</v>
      </c>
    </row>
    <row r="1326" spans="1:1">
      <c r="A1326" s="124">
        <v>38.637799999999999</v>
      </c>
    </row>
    <row r="1327" spans="1:1">
      <c r="A1327" s="124">
        <v>38.588200000000001</v>
      </c>
    </row>
    <row r="1328" spans="1:1">
      <c r="A1328" s="124">
        <v>38.693399999999997</v>
      </c>
    </row>
    <row r="1329" spans="1:1">
      <c r="A1329" s="124">
        <v>38.545900000000003</v>
      </c>
    </row>
    <row r="1330" spans="1:1">
      <c r="A1330" s="124">
        <v>38.640700000000002</v>
      </c>
    </row>
    <row r="1331" spans="1:1">
      <c r="A1331" s="124">
        <v>38.5017</v>
      </c>
    </row>
    <row r="1332" spans="1:1">
      <c r="A1332" s="124">
        <v>38.447099999999999</v>
      </c>
    </row>
    <row r="1333" spans="1:1">
      <c r="A1333" s="124">
        <v>38.332000000000001</v>
      </c>
    </row>
    <row r="1334" spans="1:1">
      <c r="A1334" s="124">
        <v>38.211799999999997</v>
      </c>
    </row>
    <row r="1335" spans="1:1">
      <c r="A1335" s="124">
        <v>38.239699999999999</v>
      </c>
    </row>
    <row r="1336" spans="1:1">
      <c r="A1336" s="124">
        <v>38.402099999999997</v>
      </c>
    </row>
    <row r="1337" spans="1:1">
      <c r="A1337" s="124">
        <v>38.153599999999997</v>
      </c>
    </row>
    <row r="1338" spans="1:1">
      <c r="A1338" s="124">
        <v>38.066499999999998</v>
      </c>
    </row>
    <row r="1339" spans="1:1">
      <c r="A1339" s="124">
        <v>38.023800000000001</v>
      </c>
    </row>
    <row r="1340" spans="1:1">
      <c r="A1340" s="124">
        <v>37.935400000000001</v>
      </c>
    </row>
    <row r="1341" spans="1:1">
      <c r="A1341" s="124">
        <v>38.008200000000002</v>
      </c>
    </row>
    <row r="1342" spans="1:1">
      <c r="A1342" s="124">
        <v>38.1614</v>
      </c>
    </row>
    <row r="1343" spans="1:1">
      <c r="A1343" s="124">
        <v>38.010300000000001</v>
      </c>
    </row>
    <row r="1344" spans="1:1">
      <c r="A1344" s="124">
        <v>37.883299999999998</v>
      </c>
    </row>
    <row r="1345" spans="1:1">
      <c r="A1345" s="124">
        <v>37.8172</v>
      </c>
    </row>
    <row r="1346" spans="1:1">
      <c r="A1346" s="124">
        <v>37.815600000000003</v>
      </c>
    </row>
    <row r="1347" spans="1:1">
      <c r="A1347" s="124">
        <v>37.738700000000001</v>
      </c>
    </row>
    <row r="1348" spans="1:1">
      <c r="A1348" s="124">
        <v>37.681100000000001</v>
      </c>
    </row>
    <row r="1349" spans="1:1">
      <c r="A1349" s="124">
        <v>37.494100000000003</v>
      </c>
    </row>
    <row r="1350" spans="1:1">
      <c r="A1350" s="124">
        <v>37.435899999999997</v>
      </c>
    </row>
    <row r="1351" spans="1:1">
      <c r="A1351" s="124">
        <v>37.5991</v>
      </c>
    </row>
    <row r="1352" spans="1:1">
      <c r="A1352" s="124">
        <v>37.395499999999998</v>
      </c>
    </row>
    <row r="1353" spans="1:1">
      <c r="A1353" s="124">
        <v>37.432400000000001</v>
      </c>
    </row>
    <row r="1354" spans="1:1">
      <c r="A1354" s="124">
        <v>37.281700000000001</v>
      </c>
    </row>
    <row r="1355" spans="1:1">
      <c r="A1355" s="124">
        <v>37.235100000000003</v>
      </c>
    </row>
    <row r="1356" spans="1:1">
      <c r="A1356" s="124">
        <v>37.223399999999998</v>
      </c>
    </row>
    <row r="1357" spans="1:1">
      <c r="A1357" s="124">
        <v>37.277500000000003</v>
      </c>
    </row>
    <row r="1358" spans="1:1">
      <c r="A1358" s="124">
        <v>37.277200000000001</v>
      </c>
    </row>
    <row r="1359" spans="1:1">
      <c r="A1359" s="124">
        <v>37.364600000000003</v>
      </c>
    </row>
    <row r="1360" spans="1:1">
      <c r="A1360" s="124">
        <v>37.051200000000001</v>
      </c>
    </row>
    <row r="1361" spans="1:1">
      <c r="A1361" s="124">
        <v>36.970399999999998</v>
      </c>
    </row>
    <row r="1362" spans="1:1">
      <c r="A1362" s="124">
        <v>37.099600000000002</v>
      </c>
    </row>
    <row r="1363" spans="1:1">
      <c r="A1363" s="124">
        <v>37.07</v>
      </c>
    </row>
    <row r="1364" spans="1:1">
      <c r="A1364" s="124">
        <v>37.078600000000002</v>
      </c>
    </row>
    <row r="1365" spans="1:1">
      <c r="A1365" s="124">
        <v>36.842199999999998</v>
      </c>
    </row>
    <row r="1366" spans="1:1">
      <c r="A1366" s="124">
        <v>36.975900000000003</v>
      </c>
    </row>
    <row r="1367" spans="1:1">
      <c r="A1367" s="124">
        <v>37.145600000000002</v>
      </c>
    </row>
    <row r="1368" spans="1:1">
      <c r="A1368" s="124">
        <v>37.067399999999999</v>
      </c>
    </row>
    <row r="1369" spans="1:1">
      <c r="A1369" s="124">
        <v>36.974899999999998</v>
      </c>
    </row>
    <row r="1370" spans="1:1">
      <c r="A1370" s="124">
        <v>36.834200000000003</v>
      </c>
    </row>
    <row r="1371" spans="1:1">
      <c r="A1371" s="124">
        <v>36.5852</v>
      </c>
    </row>
    <row r="1372" spans="1:1">
      <c r="A1372" s="124">
        <v>36.707900000000002</v>
      </c>
    </row>
    <row r="1373" spans="1:1">
      <c r="A1373" s="124">
        <v>36.5276</v>
      </c>
    </row>
    <row r="1374" spans="1:1">
      <c r="A1374" s="124">
        <v>36.670299999999997</v>
      </c>
    </row>
    <row r="1375" spans="1:1">
      <c r="A1375" s="124">
        <v>36.560400000000001</v>
      </c>
    </row>
    <row r="1376" spans="1:1">
      <c r="A1376" s="124">
        <v>36.410899999999998</v>
      </c>
    </row>
    <row r="1377" spans="1:1">
      <c r="A1377" s="124">
        <v>36.271500000000003</v>
      </c>
    </row>
    <row r="1378" spans="1:1">
      <c r="A1378" s="124">
        <v>36.255499999999998</v>
      </c>
    </row>
    <row r="1379" spans="1:1">
      <c r="A1379" s="124">
        <v>36.299999999999997</v>
      </c>
    </row>
    <row r="1380" spans="1:1">
      <c r="A1380" s="124">
        <v>36.250100000000003</v>
      </c>
    </row>
    <row r="1381" spans="1:1">
      <c r="A1381" s="124">
        <v>36.1145</v>
      </c>
    </row>
    <row r="1382" spans="1:1">
      <c r="A1382" s="124">
        <v>36.055500000000002</v>
      </c>
    </row>
    <row r="1383" spans="1:1">
      <c r="A1383" s="124">
        <v>36.165199999999999</v>
      </c>
    </row>
    <row r="1384" spans="1:1">
      <c r="A1384" s="124">
        <v>36.259500000000003</v>
      </c>
    </row>
    <row r="1385" spans="1:1">
      <c r="A1385" s="124">
        <v>36.278799999999997</v>
      </c>
    </row>
    <row r="1386" spans="1:1">
      <c r="A1386" s="124">
        <v>36.129800000000003</v>
      </c>
    </row>
    <row r="1387" spans="1:1">
      <c r="A1387" s="124">
        <v>36.128</v>
      </c>
    </row>
    <row r="1388" spans="1:1">
      <c r="A1388" s="124">
        <v>36.026400000000002</v>
      </c>
    </row>
    <row r="1389" spans="1:1">
      <c r="A1389" s="124">
        <v>35.975499999999997</v>
      </c>
    </row>
    <row r="1390" spans="1:1">
      <c r="A1390" s="124">
        <v>35.778500000000001</v>
      </c>
    </row>
    <row r="1391" spans="1:1">
      <c r="A1391" s="124">
        <v>35.868099999999998</v>
      </c>
    </row>
    <row r="1392" spans="1:1">
      <c r="A1392" s="124">
        <v>35.859299999999998</v>
      </c>
    </row>
    <row r="1393" spans="1:1">
      <c r="A1393" s="124">
        <v>35.782600000000002</v>
      </c>
    </row>
    <row r="1394" spans="1:1">
      <c r="A1394" s="124">
        <v>35.864199999999997</v>
      </c>
    </row>
    <row r="1395" spans="1:1">
      <c r="A1395" s="124">
        <v>35.893799999999999</v>
      </c>
    </row>
    <row r="1396" spans="1:1">
      <c r="A1396" s="124">
        <v>35.611899999999999</v>
      </c>
    </row>
    <row r="1397" spans="1:1">
      <c r="A1397" s="124">
        <v>35.452399999999997</v>
      </c>
    </row>
    <row r="1398" spans="1:1">
      <c r="A1398" s="124">
        <v>35.584299999999999</v>
      </c>
    </row>
    <row r="1399" spans="1:1">
      <c r="A1399" s="124">
        <v>35.631</v>
      </c>
    </row>
    <row r="1400" spans="1:1">
      <c r="A1400" s="124">
        <v>35.382899999999999</v>
      </c>
    </row>
    <row r="1401" spans="1:1">
      <c r="A1401" s="124">
        <v>35.412999999999997</v>
      </c>
    </row>
    <row r="1402" spans="1:1">
      <c r="A1402" s="124">
        <v>35.202100000000002</v>
      </c>
    </row>
    <row r="1403" spans="1:1">
      <c r="A1403" s="124">
        <v>35.152299999999997</v>
      </c>
    </row>
    <row r="1404" spans="1:1">
      <c r="A1404" s="124">
        <v>35.323799999999999</v>
      </c>
    </row>
    <row r="1405" spans="1:1">
      <c r="A1405" s="124">
        <v>35.203099999999999</v>
      </c>
    </row>
    <row r="1406" spans="1:1">
      <c r="A1406" s="124">
        <v>35.081200000000003</v>
      </c>
    </row>
    <row r="1407" spans="1:1">
      <c r="A1407" s="124">
        <v>35.162399999999998</v>
      </c>
    </row>
    <row r="1408" spans="1:1">
      <c r="A1408" s="124">
        <v>35.052100000000003</v>
      </c>
    </row>
    <row r="1409" spans="1:1">
      <c r="A1409" s="124">
        <v>35.160899999999998</v>
      </c>
    </row>
    <row r="1410" spans="1:1">
      <c r="A1410" s="124">
        <v>35.116799999999998</v>
      </c>
    </row>
    <row r="1411" spans="1:1">
      <c r="A1411" s="124">
        <v>34.878599999999999</v>
      </c>
    </row>
    <row r="1412" spans="1:1">
      <c r="A1412" s="124">
        <v>34.716200000000001</v>
      </c>
    </row>
    <row r="1413" spans="1:1">
      <c r="A1413" s="124">
        <v>34.922899999999998</v>
      </c>
    </row>
    <row r="1414" spans="1:1">
      <c r="A1414" s="124">
        <v>35.0364</v>
      </c>
    </row>
    <row r="1415" spans="1:1">
      <c r="A1415" s="124">
        <v>34.790700000000001</v>
      </c>
    </row>
    <row r="1416" spans="1:1">
      <c r="A1416" s="124">
        <v>34.863</v>
      </c>
    </row>
    <row r="1417" spans="1:1">
      <c r="A1417" s="124">
        <v>34.889699999999998</v>
      </c>
    </row>
    <row r="1418" spans="1:1">
      <c r="A1418" s="124">
        <v>34.923200000000001</v>
      </c>
    </row>
    <row r="1419" spans="1:1">
      <c r="A1419" s="124">
        <v>34.598300000000002</v>
      </c>
    </row>
    <row r="1420" spans="1:1">
      <c r="A1420" s="124">
        <v>34.674500000000002</v>
      </c>
    </row>
    <row r="1421" spans="1:1">
      <c r="A1421" s="124">
        <v>34.904299999999999</v>
      </c>
    </row>
    <row r="1422" spans="1:1">
      <c r="A1422" s="124">
        <v>34.814599999999999</v>
      </c>
    </row>
    <row r="1423" spans="1:1">
      <c r="A1423" s="124">
        <v>34.559199999999997</v>
      </c>
    </row>
    <row r="1424" spans="1:1">
      <c r="A1424" s="124">
        <v>34.614100000000001</v>
      </c>
    </row>
    <row r="1425" spans="1:1">
      <c r="A1425" s="124">
        <v>34.716999999999999</v>
      </c>
    </row>
    <row r="1426" spans="1:1">
      <c r="A1426" s="124">
        <v>34.571100000000001</v>
      </c>
    </row>
    <row r="1427" spans="1:1">
      <c r="A1427" s="124">
        <v>34.410200000000003</v>
      </c>
    </row>
    <row r="1428" spans="1:1">
      <c r="A1428" s="124">
        <v>34.247599999999998</v>
      </c>
    </row>
    <row r="1429" spans="1:1">
      <c r="A1429" s="124">
        <v>34.247700000000002</v>
      </c>
    </row>
    <row r="1430" spans="1:1">
      <c r="A1430" s="124">
        <v>34.420900000000003</v>
      </c>
    </row>
    <row r="1431" spans="1:1">
      <c r="A1431" s="124">
        <v>34.424999999999997</v>
      </c>
    </row>
    <row r="1432" spans="1:1">
      <c r="A1432" s="124">
        <v>34.177100000000003</v>
      </c>
    </row>
    <row r="1433" spans="1:1">
      <c r="A1433" s="124">
        <v>34.265900000000002</v>
      </c>
    </row>
    <row r="1434" spans="1:1">
      <c r="A1434" s="124">
        <v>33.921300000000002</v>
      </c>
    </row>
    <row r="1435" spans="1:1">
      <c r="A1435" s="124">
        <v>34.120100000000001</v>
      </c>
    </row>
    <row r="1436" spans="1:1">
      <c r="A1436" s="124">
        <v>33.974400000000003</v>
      </c>
    </row>
    <row r="1437" spans="1:1">
      <c r="A1437" s="124">
        <v>34.072699999999998</v>
      </c>
    </row>
    <row r="1438" spans="1:1">
      <c r="A1438" s="124">
        <v>34.1372</v>
      </c>
    </row>
    <row r="1439" spans="1:1">
      <c r="A1439" s="124">
        <v>33.970500000000001</v>
      </c>
    </row>
    <row r="1440" spans="1:1">
      <c r="A1440" s="124">
        <v>34.125900000000001</v>
      </c>
    </row>
    <row r="1441" spans="1:1">
      <c r="A1441" s="124">
        <v>34.092100000000002</v>
      </c>
    </row>
    <row r="1442" spans="1:1">
      <c r="A1442" s="124">
        <v>33.7898</v>
      </c>
    </row>
    <row r="1443" spans="1:1">
      <c r="A1443" s="124">
        <v>33.9754</v>
      </c>
    </row>
    <row r="1444" spans="1:1">
      <c r="A1444" s="124">
        <v>33.791499999999999</v>
      </c>
    </row>
    <row r="1445" spans="1:1">
      <c r="A1445" s="124">
        <v>33.882899999999999</v>
      </c>
    </row>
    <row r="1446" spans="1:1">
      <c r="A1446" s="124">
        <v>33.709899999999998</v>
      </c>
    </row>
    <row r="1447" spans="1:1">
      <c r="A1447" s="124">
        <v>33.717500000000001</v>
      </c>
    </row>
    <row r="1448" spans="1:1">
      <c r="A1448" s="124">
        <v>33.627499999999998</v>
      </c>
    </row>
    <row r="1449" spans="1:1">
      <c r="A1449" s="124">
        <v>33.718200000000003</v>
      </c>
    </row>
    <row r="1450" spans="1:1">
      <c r="A1450" s="124">
        <v>33.733600000000003</v>
      </c>
    </row>
    <row r="1451" spans="1:1">
      <c r="A1451" s="124">
        <v>33.4557</v>
      </c>
    </row>
    <row r="1452" spans="1:1">
      <c r="A1452" s="124">
        <v>33.325000000000003</v>
      </c>
    </row>
    <row r="1453" spans="1:1">
      <c r="A1453" s="124">
        <v>33.348700000000001</v>
      </c>
    </row>
    <row r="1454" spans="1:1">
      <c r="A1454" s="124">
        <v>33.469000000000001</v>
      </c>
    </row>
    <row r="1455" spans="1:1">
      <c r="A1455" s="124">
        <v>33.330399999999997</v>
      </c>
    </row>
    <row r="1456" spans="1:1">
      <c r="A1456" s="124">
        <v>33.447899999999997</v>
      </c>
    </row>
    <row r="1457" spans="1:1">
      <c r="A1457" s="124">
        <v>33.279299999999999</v>
      </c>
    </row>
    <row r="1458" spans="1:1">
      <c r="A1458" s="124">
        <v>33.220799999999997</v>
      </c>
    </row>
    <row r="1459" spans="1:1">
      <c r="A1459" s="124">
        <v>33.202800000000003</v>
      </c>
    </row>
    <row r="1460" spans="1:1">
      <c r="A1460" s="124">
        <v>32.922199999999997</v>
      </c>
    </row>
    <row r="1461" spans="1:1">
      <c r="A1461" s="124">
        <v>32.8705</v>
      </c>
    </row>
    <row r="1462" spans="1:1">
      <c r="A1462" s="124">
        <v>33.004100000000001</v>
      </c>
    </row>
    <row r="1463" spans="1:1">
      <c r="A1463" s="124">
        <v>32.955199999999998</v>
      </c>
    </row>
    <row r="1464" spans="1:1">
      <c r="A1464" s="124">
        <v>32.788800000000002</v>
      </c>
    </row>
    <row r="1465" spans="1:1">
      <c r="A1465" s="124">
        <v>32.626899999999999</v>
      </c>
    </row>
    <row r="1466" spans="1:1">
      <c r="A1466" s="124">
        <v>32.784799999999997</v>
      </c>
    </row>
    <row r="1467" spans="1:1">
      <c r="A1467" s="124">
        <v>32.901299999999999</v>
      </c>
    </row>
    <row r="1468" spans="1:1">
      <c r="A1468" s="124">
        <v>32.681100000000001</v>
      </c>
    </row>
    <row r="1469" spans="1:1">
      <c r="A1469" s="124">
        <v>32.797499999999999</v>
      </c>
    </row>
    <row r="1470" spans="1:1">
      <c r="A1470" s="124">
        <v>32.604500000000002</v>
      </c>
    </row>
    <row r="1471" spans="1:1">
      <c r="A1471" s="124">
        <v>32.7682</v>
      </c>
    </row>
    <row r="1472" spans="1:1">
      <c r="A1472" s="124">
        <v>32.6629</v>
      </c>
    </row>
    <row r="1473" spans="1:1">
      <c r="A1473" s="124">
        <v>32.631</v>
      </c>
    </row>
    <row r="1474" spans="1:1">
      <c r="A1474" s="124">
        <v>32.345199999999998</v>
      </c>
    </row>
    <row r="1475" spans="1:1">
      <c r="A1475" s="124">
        <v>32.3611</v>
      </c>
    </row>
    <row r="1476" spans="1:1">
      <c r="A1476" s="124">
        <v>32.600200000000001</v>
      </c>
    </row>
    <row r="1477" spans="1:1">
      <c r="A1477" s="124">
        <v>32.531599999999997</v>
      </c>
    </row>
    <row r="1478" spans="1:1">
      <c r="A1478" s="124">
        <v>32.502099999999999</v>
      </c>
    </row>
    <row r="1479" spans="1:1">
      <c r="A1479" s="124">
        <v>32.465400000000002</v>
      </c>
    </row>
    <row r="1480" spans="1:1">
      <c r="A1480" s="124">
        <v>32.340299999999999</v>
      </c>
    </row>
    <row r="1481" spans="1:1">
      <c r="A1481" s="124">
        <v>32.335099999999997</v>
      </c>
    </row>
    <row r="1482" spans="1:1">
      <c r="A1482" s="124">
        <v>32.299199999999999</v>
      </c>
    </row>
    <row r="1483" spans="1:1">
      <c r="A1483" s="124">
        <v>32.158099999999997</v>
      </c>
    </row>
    <row r="1484" spans="1:1">
      <c r="A1484" s="124">
        <v>32.238599999999998</v>
      </c>
    </row>
    <row r="1485" spans="1:1">
      <c r="A1485" s="124">
        <v>32.390799999999999</v>
      </c>
    </row>
    <row r="1486" spans="1:1">
      <c r="A1486" s="124">
        <v>32.211500000000001</v>
      </c>
    </row>
    <row r="1487" spans="1:1">
      <c r="A1487" s="124">
        <v>32.075000000000003</v>
      </c>
    </row>
    <row r="1488" spans="1:1">
      <c r="A1488" s="124">
        <v>31.996400000000001</v>
      </c>
    </row>
    <row r="1489" spans="1:1">
      <c r="A1489" s="124">
        <v>31.816500000000001</v>
      </c>
    </row>
    <row r="1490" spans="1:1">
      <c r="A1490" s="124">
        <v>32.012799999999999</v>
      </c>
    </row>
    <row r="1491" spans="1:1">
      <c r="A1491" s="124">
        <v>31.944800000000001</v>
      </c>
    </row>
    <row r="1492" spans="1:1">
      <c r="A1492" s="124">
        <v>31.847999999999999</v>
      </c>
    </row>
    <row r="1493" spans="1:1">
      <c r="A1493" s="124">
        <v>31.765699999999999</v>
      </c>
    </row>
    <row r="1494" spans="1:1">
      <c r="A1494" s="124">
        <v>31.857800000000001</v>
      </c>
    </row>
    <row r="1495" spans="1:1">
      <c r="A1495" s="124">
        <v>31.903199999999998</v>
      </c>
    </row>
    <row r="1496" spans="1:1">
      <c r="A1496" s="124">
        <v>31.723099999999999</v>
      </c>
    </row>
    <row r="1497" spans="1:1">
      <c r="A1497" s="124">
        <v>31.757100000000001</v>
      </c>
    </row>
    <row r="1498" spans="1:1">
      <c r="A1498" s="124">
        <v>31.8019</v>
      </c>
    </row>
    <row r="1499" spans="1:1">
      <c r="A1499" s="124">
        <v>31.618300000000001</v>
      </c>
    </row>
    <row r="1500" spans="1:1">
      <c r="A1500" s="124">
        <v>31.358000000000001</v>
      </c>
    </row>
    <row r="1501" spans="1:1">
      <c r="A1501" s="124">
        <v>31.321899999999999</v>
      </c>
    </row>
    <row r="1502" spans="1:1">
      <c r="A1502" s="124">
        <v>31.272200000000002</v>
      </c>
    </row>
    <row r="1503" spans="1:1">
      <c r="A1503" s="124">
        <v>31.342600000000001</v>
      </c>
    </row>
    <row r="1504" spans="1:1">
      <c r="A1504" s="124">
        <v>31.4544</v>
      </c>
    </row>
    <row r="1505" spans="1:1">
      <c r="A1505" s="124">
        <v>31.373799999999999</v>
      </c>
    </row>
    <row r="1506" spans="1:1">
      <c r="A1506" s="124">
        <v>31.270499999999998</v>
      </c>
    </row>
    <row r="1507" spans="1:1">
      <c r="A1507" s="124">
        <v>31.374400000000001</v>
      </c>
    </row>
    <row r="1508" spans="1:1">
      <c r="A1508" s="124">
        <v>31.3291</v>
      </c>
    </row>
    <row r="1509" spans="1:1">
      <c r="A1509" s="124">
        <v>31.165700000000001</v>
      </c>
    </row>
    <row r="1510" spans="1:1">
      <c r="A1510" s="124">
        <v>31.2196</v>
      </c>
    </row>
    <row r="1511" spans="1:1">
      <c r="A1511" s="124">
        <v>31.1388</v>
      </c>
    </row>
    <row r="1512" spans="1:1">
      <c r="A1512" s="124">
        <v>31.093399999999999</v>
      </c>
    </row>
    <row r="1513" spans="1:1">
      <c r="A1513" s="124">
        <v>31.102499999999999</v>
      </c>
    </row>
    <row r="1514" spans="1:1">
      <c r="A1514" s="124">
        <v>30.8903</v>
      </c>
    </row>
    <row r="1515" spans="1:1">
      <c r="A1515" s="124">
        <v>31.072800000000001</v>
      </c>
    </row>
    <row r="1516" spans="1:1">
      <c r="A1516" s="124">
        <v>31.192799999999998</v>
      </c>
    </row>
    <row r="1517" spans="1:1">
      <c r="A1517" s="124">
        <v>31.0245</v>
      </c>
    </row>
    <row r="1518" spans="1:1">
      <c r="A1518" s="124">
        <v>30.9056</v>
      </c>
    </row>
    <row r="1519" spans="1:1">
      <c r="A1519" s="124">
        <v>30.830100000000002</v>
      </c>
    </row>
    <row r="1520" spans="1:1">
      <c r="A1520" s="124">
        <v>30.733699999999999</v>
      </c>
    </row>
    <row r="1521" spans="1:1">
      <c r="A1521" s="124">
        <v>30.9072</v>
      </c>
    </row>
    <row r="1522" spans="1:1">
      <c r="A1522" s="124">
        <v>30.820699999999999</v>
      </c>
    </row>
    <row r="1523" spans="1:1">
      <c r="A1523" s="124">
        <v>30.875800000000002</v>
      </c>
    </row>
    <row r="1524" spans="1:1">
      <c r="A1524" s="124">
        <v>30.706199999999999</v>
      </c>
    </row>
    <row r="1525" spans="1:1">
      <c r="A1525" s="124">
        <v>30.638200000000001</v>
      </c>
    </row>
    <row r="1526" spans="1:1">
      <c r="A1526" s="124">
        <v>30.550599999999999</v>
      </c>
    </row>
    <row r="1527" spans="1:1">
      <c r="A1527" s="124">
        <v>30.446300000000001</v>
      </c>
    </row>
    <row r="1528" spans="1:1">
      <c r="A1528" s="124">
        <v>30.572600000000001</v>
      </c>
    </row>
    <row r="1529" spans="1:1">
      <c r="A1529" s="124">
        <v>30.639900000000001</v>
      </c>
    </row>
    <row r="1530" spans="1:1">
      <c r="A1530" s="124">
        <v>30.624099999999999</v>
      </c>
    </row>
    <row r="1531" spans="1:1">
      <c r="A1531" s="124">
        <v>30.399799999999999</v>
      </c>
    </row>
    <row r="1532" spans="1:1">
      <c r="A1532" s="124">
        <v>30.6356</v>
      </c>
    </row>
    <row r="1533" spans="1:1">
      <c r="A1533" s="124">
        <v>30.490300000000001</v>
      </c>
    </row>
    <row r="1534" spans="1:1">
      <c r="A1534" s="124">
        <v>30.582000000000001</v>
      </c>
    </row>
    <row r="1535" spans="1:1">
      <c r="A1535" s="124">
        <v>30.5823</v>
      </c>
    </row>
    <row r="1536" spans="1:1">
      <c r="A1536" s="124">
        <v>30.510300000000001</v>
      </c>
    </row>
    <row r="1537" spans="1:1">
      <c r="A1537" s="124">
        <v>30.331600000000002</v>
      </c>
    </row>
    <row r="1538" spans="1:1">
      <c r="A1538" s="124">
        <v>30.255500000000001</v>
      </c>
    </row>
    <row r="1539" spans="1:1">
      <c r="A1539" s="124">
        <v>30.1191</v>
      </c>
    </row>
    <row r="1540" spans="1:1">
      <c r="A1540" s="124">
        <v>30.231000000000002</v>
      </c>
    </row>
    <row r="1541" spans="1:1">
      <c r="A1541" s="124">
        <v>30.26</v>
      </c>
    </row>
    <row r="1542" spans="1:1">
      <c r="A1542" s="124">
        <v>30.0824</v>
      </c>
    </row>
    <row r="1543" spans="1:1">
      <c r="A1543" s="124">
        <v>30.114899999999999</v>
      </c>
    </row>
    <row r="1544" spans="1:1">
      <c r="A1544" s="124">
        <v>29.955500000000001</v>
      </c>
    </row>
    <row r="1545" spans="1:1">
      <c r="A1545" s="124">
        <v>30.182099999999998</v>
      </c>
    </row>
    <row r="1546" spans="1:1">
      <c r="A1546" s="124">
        <v>30.046399999999998</v>
      </c>
    </row>
    <row r="1547" spans="1:1">
      <c r="A1547" s="124">
        <v>30.023599999999998</v>
      </c>
    </row>
    <row r="1548" spans="1:1">
      <c r="A1548" s="124">
        <v>30.0017</v>
      </c>
    </row>
    <row r="1549" spans="1:1">
      <c r="A1549" s="124">
        <v>30.087199999999999</v>
      </c>
    </row>
    <row r="1550" spans="1:1">
      <c r="A1550" s="124">
        <v>30.172999999999998</v>
      </c>
    </row>
    <row r="1551" spans="1:1">
      <c r="A1551" s="124">
        <v>30.116299999999999</v>
      </c>
    </row>
    <row r="1552" spans="1:1">
      <c r="A1552" s="124">
        <v>30.0503</v>
      </c>
    </row>
    <row r="1553" spans="1:1">
      <c r="A1553" s="124">
        <v>29.932700000000001</v>
      </c>
    </row>
    <row r="1554" spans="1:1">
      <c r="A1554" s="124">
        <v>30.135200000000001</v>
      </c>
    </row>
    <row r="1555" spans="1:1">
      <c r="A1555" s="124">
        <v>29.846599999999999</v>
      </c>
    </row>
    <row r="1556" spans="1:1">
      <c r="A1556" s="124">
        <v>29.849900000000002</v>
      </c>
    </row>
    <row r="1557" spans="1:1">
      <c r="A1557" s="124">
        <v>29.702300000000001</v>
      </c>
    </row>
    <row r="1558" spans="1:1">
      <c r="A1558" s="124">
        <v>29.584199999999999</v>
      </c>
    </row>
    <row r="1559" spans="1:1">
      <c r="A1559" s="124">
        <v>29.4848</v>
      </c>
    </row>
    <row r="1560" spans="1:1">
      <c r="A1560" s="124">
        <v>29.435500000000001</v>
      </c>
    </row>
    <row r="1561" spans="1:1">
      <c r="A1561" s="124">
        <v>29.478400000000001</v>
      </c>
    </row>
    <row r="1562" spans="1:1">
      <c r="A1562" s="124">
        <v>29.270600000000002</v>
      </c>
    </row>
    <row r="1563" spans="1:1">
      <c r="A1563" s="124">
        <v>29.4785</v>
      </c>
    </row>
    <row r="1564" spans="1:1">
      <c r="A1564" s="124">
        <v>29.365500000000001</v>
      </c>
    </row>
    <row r="1565" spans="1:1">
      <c r="A1565" s="124">
        <v>29.631699999999999</v>
      </c>
    </row>
    <row r="1566" spans="1:1">
      <c r="A1566" s="124">
        <v>29.274699999999999</v>
      </c>
    </row>
    <row r="1567" spans="1:1">
      <c r="A1567" s="124">
        <v>29.386800000000001</v>
      </c>
    </row>
    <row r="1568" spans="1:1">
      <c r="A1568" s="124">
        <v>29.290199999999999</v>
      </c>
    </row>
    <row r="1569" spans="1:1">
      <c r="A1569" s="124">
        <v>29.313600000000001</v>
      </c>
    </row>
    <row r="1570" spans="1:1">
      <c r="A1570" s="124">
        <v>29.339099999999998</v>
      </c>
    </row>
    <row r="1571" spans="1:1">
      <c r="A1571" s="124">
        <v>29.224799999999998</v>
      </c>
    </row>
    <row r="1572" spans="1:1">
      <c r="A1572" s="124">
        <v>28.9938</v>
      </c>
    </row>
    <row r="1573" spans="1:1">
      <c r="A1573" s="124">
        <v>29.091699999999999</v>
      </c>
    </row>
    <row r="1574" spans="1:1">
      <c r="A1574" s="124">
        <v>29.1602</v>
      </c>
    </row>
    <row r="1575" spans="1:1">
      <c r="A1575" s="124">
        <v>29.0381</v>
      </c>
    </row>
    <row r="1576" spans="1:1">
      <c r="A1576" s="124">
        <v>29.0672</v>
      </c>
    </row>
    <row r="1577" spans="1:1">
      <c r="A1577" s="124">
        <v>29.0733</v>
      </c>
    </row>
    <row r="1578" spans="1:1">
      <c r="A1578" s="124">
        <v>28.9038</v>
      </c>
    </row>
    <row r="1579" spans="1:1">
      <c r="A1579" s="124">
        <v>29.005400000000002</v>
      </c>
    </row>
    <row r="1580" spans="1:1">
      <c r="A1580" s="124">
        <v>28.8916</v>
      </c>
    </row>
    <row r="1581" spans="1:1">
      <c r="A1581" s="124">
        <v>28.7773</v>
      </c>
    </row>
    <row r="1582" spans="1:1">
      <c r="A1582" s="124">
        <v>28.786799999999999</v>
      </c>
    </row>
    <row r="1583" spans="1:1">
      <c r="A1583" s="124">
        <v>28.787299999999998</v>
      </c>
    </row>
    <row r="1584" spans="1:1">
      <c r="A1584" s="124">
        <v>28.8506</v>
      </c>
    </row>
    <row r="1585" spans="1:3">
      <c r="A1585" s="124">
        <v>28.719899999999999</v>
      </c>
    </row>
    <row r="1586" spans="1:3">
      <c r="A1586" s="124">
        <v>28.7515</v>
      </c>
    </row>
    <row r="1587" spans="1:3">
      <c r="A1587" s="124">
        <v>28.821100000000001</v>
      </c>
    </row>
    <row r="1588" spans="1:3">
      <c r="A1588" s="124">
        <v>28.579599999999999</v>
      </c>
    </row>
    <row r="1589" spans="1:3">
      <c r="A1589" s="124">
        <v>28.550599999999999</v>
      </c>
    </row>
    <row r="1590" spans="1:3">
      <c r="A1590" s="124">
        <v>28.661999999999999</v>
      </c>
    </row>
    <row r="1591" spans="1:3">
      <c r="A1591" s="124">
        <v>28.706099999999999</v>
      </c>
    </row>
    <row r="1592" spans="1:3">
      <c r="A1592" s="124">
        <v>28.5976</v>
      </c>
    </row>
    <row r="1593" spans="1:3">
      <c r="A1593" s="124">
        <v>28.561800000000002</v>
      </c>
    </row>
    <row r="1594" spans="1:3">
      <c r="A1594" s="124">
        <v>28.478899999999999</v>
      </c>
    </row>
    <row r="1595" spans="1:3">
      <c r="A1595" s="124">
        <v>28.564699999999998</v>
      </c>
      <c r="C1595" s="124">
        <v>0</v>
      </c>
    </row>
    <row r="1596" spans="1:3">
      <c r="A1596" s="124">
        <v>28.458300000000001</v>
      </c>
      <c r="C1596" s="124">
        <v>-1.9902</v>
      </c>
    </row>
    <row r="1597" spans="1:3">
      <c r="A1597" s="124">
        <v>28.631699999999999</v>
      </c>
      <c r="C1597" s="124">
        <v>-0.52400000000000002</v>
      </c>
    </row>
    <row r="1598" spans="1:3">
      <c r="A1598" s="124">
        <v>28.668099999999999</v>
      </c>
      <c r="C1598" s="124">
        <v>-7.9143999999999997</v>
      </c>
    </row>
    <row r="1599" spans="1:3">
      <c r="A1599" s="124">
        <v>28.491099999999999</v>
      </c>
      <c r="C1599" s="124">
        <v>0.17780000000000001</v>
      </c>
    </row>
    <row r="1600" spans="1:3">
      <c r="A1600" s="124">
        <v>28.3948</v>
      </c>
      <c r="C1600" s="124">
        <v>-7.0152000000000001</v>
      </c>
    </row>
    <row r="1601" spans="1:3">
      <c r="A1601" s="124">
        <v>28.259499999999999</v>
      </c>
      <c r="C1601" s="124">
        <v>-4.2446999999999999</v>
      </c>
    </row>
    <row r="1602" spans="1:3">
      <c r="A1602" s="124">
        <v>28.256</v>
      </c>
      <c r="C1602" s="124">
        <v>-8.7269000000000005</v>
      </c>
    </row>
    <row r="1603" spans="1:3">
      <c r="A1603" s="124">
        <v>28.228999999999999</v>
      </c>
      <c r="C1603" s="124">
        <v>-0.52459999999999996</v>
      </c>
    </row>
    <row r="1604" spans="1:3">
      <c r="A1604" s="124">
        <v>28.111699999999999</v>
      </c>
      <c r="C1604" s="124">
        <v>-6.5338000000000003</v>
      </c>
    </row>
    <row r="1605" spans="1:3">
      <c r="A1605" s="124">
        <v>28.1372</v>
      </c>
      <c r="C1605" s="124">
        <v>-0.52459999999999996</v>
      </c>
    </row>
    <row r="1606" spans="1:3">
      <c r="A1606" s="124">
        <v>28.0228</v>
      </c>
      <c r="C1606" s="124">
        <v>28.040099999999999</v>
      </c>
    </row>
    <row r="1607" spans="1:3">
      <c r="A1607" s="124">
        <v>27.939299999999999</v>
      </c>
      <c r="C1607" s="124">
        <v>2.6101000000000001</v>
      </c>
    </row>
    <row r="1608" spans="1:3">
      <c r="A1608" s="124">
        <v>27.9483</v>
      </c>
      <c r="C1608" s="124">
        <v>-38.926200000000001</v>
      </c>
    </row>
    <row r="1609" spans="1:3">
      <c r="A1609" s="124">
        <v>27.995699999999999</v>
      </c>
      <c r="C1609" s="124">
        <v>-11.6037</v>
      </c>
    </row>
    <row r="1610" spans="1:3">
      <c r="A1610" s="124">
        <v>27.8567</v>
      </c>
      <c r="C1610" s="124">
        <v>-6.3410000000000002</v>
      </c>
    </row>
    <row r="1611" spans="1:3">
      <c r="A1611" s="124">
        <v>27.868099999999998</v>
      </c>
      <c r="C1611" s="124">
        <v>26.262</v>
      </c>
    </row>
    <row r="1612" spans="1:3">
      <c r="A1612" s="124">
        <v>27.8766</v>
      </c>
      <c r="C1612" s="124">
        <v>-0.52600000000000002</v>
      </c>
    </row>
    <row r="1613" spans="1:3">
      <c r="A1613" s="124">
        <v>28.018699999999999</v>
      </c>
      <c r="C1613" s="124">
        <v>-50.620399999999997</v>
      </c>
    </row>
    <row r="1614" spans="1:3">
      <c r="A1614" s="124">
        <v>27.795999999999999</v>
      </c>
      <c r="C1614" s="124">
        <v>-0.89419999999999999</v>
      </c>
    </row>
    <row r="1615" spans="1:3">
      <c r="A1615" s="124">
        <v>27.9986</v>
      </c>
      <c r="C1615" s="124">
        <v>-26.651700000000002</v>
      </c>
    </row>
    <row r="1616" spans="1:3">
      <c r="A1616" s="124">
        <v>27.975100000000001</v>
      </c>
      <c r="C1616" s="124">
        <v>-14.8079</v>
      </c>
    </row>
    <row r="1617" spans="1:3">
      <c r="A1617" s="124">
        <v>27.7804</v>
      </c>
      <c r="C1617" s="124">
        <v>-5.5343</v>
      </c>
    </row>
    <row r="1618" spans="1:3">
      <c r="A1618" s="124">
        <v>27.6675</v>
      </c>
      <c r="C1618" s="124">
        <v>45.549599999999998</v>
      </c>
    </row>
    <row r="1619" spans="1:3">
      <c r="A1619" s="124">
        <v>27.801300000000001</v>
      </c>
      <c r="C1619" s="124">
        <v>-9.7246000000000006</v>
      </c>
    </row>
    <row r="1620" spans="1:3">
      <c r="A1620" s="124">
        <v>27.733499999999999</v>
      </c>
      <c r="C1620" s="124">
        <v>-29.7971</v>
      </c>
    </row>
    <row r="1621" spans="1:3">
      <c r="A1621" s="124">
        <v>27.790700000000001</v>
      </c>
      <c r="C1621" s="124">
        <v>-51.493200000000002</v>
      </c>
    </row>
    <row r="1622" spans="1:3">
      <c r="A1622" s="124">
        <v>27.575399999999998</v>
      </c>
      <c r="C1622" s="124">
        <v>-63.3645</v>
      </c>
    </row>
    <row r="1623" spans="1:3">
      <c r="A1623" s="124">
        <v>27.544799999999999</v>
      </c>
      <c r="C1623" s="124">
        <v>-35.490600000000001</v>
      </c>
    </row>
    <row r="1624" spans="1:3">
      <c r="A1624" s="124">
        <v>27.501200000000001</v>
      </c>
      <c r="C1624" s="124">
        <v>28.1404</v>
      </c>
    </row>
    <row r="1625" spans="1:3">
      <c r="A1625" s="124">
        <v>27.5032</v>
      </c>
      <c r="C1625" s="124">
        <v>-0.54720000000000002</v>
      </c>
    </row>
    <row r="1626" spans="1:3">
      <c r="A1626" s="124">
        <v>27.5383</v>
      </c>
      <c r="C1626" s="124">
        <v>-2.0142000000000002</v>
      </c>
    </row>
    <row r="1627" spans="1:3">
      <c r="A1627" s="124">
        <v>27.473299999999998</v>
      </c>
      <c r="C1627" s="124">
        <v>-0.53039999999999998</v>
      </c>
    </row>
    <row r="1628" spans="1:3">
      <c r="A1628" s="124">
        <v>27.3001</v>
      </c>
      <c r="C1628" s="124">
        <v>-7.8428000000000004</v>
      </c>
    </row>
    <row r="1629" spans="1:3">
      <c r="C1629" s="124">
        <v>0.17560000000000001</v>
      </c>
    </row>
    <row r="1630" spans="1:3">
      <c r="C1630" s="124">
        <v>-7.0449999999999999</v>
      </c>
    </row>
    <row r="1631" spans="1:3">
      <c r="C1631" s="124">
        <v>-4.3040000000000003</v>
      </c>
    </row>
    <row r="1632" spans="1:3">
      <c r="C1632" s="124">
        <v>-8.7886000000000006</v>
      </c>
    </row>
    <row r="1633" spans="3:3">
      <c r="C1633" s="124">
        <v>-0.52959999999999996</v>
      </c>
    </row>
    <row r="1634" spans="3:3">
      <c r="C1634" s="124">
        <v>-5.7663000000000002</v>
      </c>
    </row>
    <row r="1635" spans="3:3">
      <c r="C1635" s="124">
        <v>-0.52910000000000001</v>
      </c>
    </row>
    <row r="1636" spans="3:3">
      <c r="C1636" s="124">
        <v>28.718399999999999</v>
      </c>
    </row>
    <row r="1637" spans="3:3">
      <c r="C1637" s="124">
        <v>2.7103000000000002</v>
      </c>
    </row>
    <row r="1638" spans="3:3">
      <c r="C1638" s="124">
        <v>-39.354300000000002</v>
      </c>
    </row>
    <row r="1639" spans="3:3">
      <c r="C1639" s="124">
        <v>-11.7401</v>
      </c>
    </row>
    <row r="1640" spans="3:3">
      <c r="C1640" s="124">
        <v>-6.3602999999999996</v>
      </c>
    </row>
    <row r="1641" spans="3:3">
      <c r="C1641" s="124">
        <v>27.147300000000001</v>
      </c>
    </row>
    <row r="1642" spans="3:3">
      <c r="C1642" s="124">
        <v>-24.672899999999998</v>
      </c>
    </row>
    <row r="1643" spans="3:3">
      <c r="C1643" s="124">
        <v>-24.721699999999998</v>
      </c>
    </row>
    <row r="1644" spans="3:3">
      <c r="C1644" s="124">
        <v>-24.747900000000001</v>
      </c>
    </row>
    <row r="1645" spans="3:3">
      <c r="C1645" s="124">
        <v>-24.770700000000001</v>
      </c>
    </row>
    <row r="1646" spans="3:3">
      <c r="C1646" s="124">
        <v>-24.792300000000001</v>
      </c>
    </row>
    <row r="1647" spans="3:3">
      <c r="C1647" s="124">
        <v>-24.8111</v>
      </c>
    </row>
    <row r="1648" spans="3:3">
      <c r="C1648" s="124">
        <v>-24.8325</v>
      </c>
    </row>
    <row r="1649" spans="3:3">
      <c r="C1649" s="124">
        <v>-24.8523</v>
      </c>
    </row>
    <row r="1650" spans="3:3">
      <c r="C1650" s="124">
        <v>-24.875399999999999</v>
      </c>
    </row>
    <row r="1651" spans="3:3">
      <c r="C1651" s="124">
        <v>-24.891200000000001</v>
      </c>
    </row>
    <row r="1652" spans="3:3">
      <c r="C1652" s="124">
        <v>-24.9131</v>
      </c>
    </row>
    <row r="1653" spans="3:3">
      <c r="C1653" s="124">
        <v>-24.9312</v>
      </c>
    </row>
    <row r="1654" spans="3:3">
      <c r="C1654" s="124">
        <v>-24.956600000000002</v>
      </c>
    </row>
    <row r="1655" spans="3:3">
      <c r="C1655" s="124">
        <v>-24.973099999999999</v>
      </c>
    </row>
    <row r="1656" spans="3:3">
      <c r="C1656" s="124">
        <v>-24.994499999999999</v>
      </c>
    </row>
    <row r="1657" spans="3:3">
      <c r="C1657" s="124">
        <v>-25.015999999999998</v>
      </c>
    </row>
    <row r="1658" spans="3:3">
      <c r="C1658" s="124">
        <v>-25.035399999999999</v>
      </c>
    </row>
    <row r="1659" spans="3:3">
      <c r="C1659" s="124">
        <v>-25.057600000000001</v>
      </c>
    </row>
    <row r="1660" spans="3:3">
      <c r="C1660" s="124">
        <v>-25.078499999999998</v>
      </c>
    </row>
    <row r="1661" spans="3:3">
      <c r="C1661" s="124">
        <v>-25.1022</v>
      </c>
    </row>
    <row r="1662" spans="3:3">
      <c r="C1662" s="124">
        <v>-25.124300000000002</v>
      </c>
    </row>
    <row r="1663" spans="3:3">
      <c r="C1663" s="124">
        <v>-25.145399999999999</v>
      </c>
    </row>
    <row r="1664" spans="3:3">
      <c r="C1664" s="124">
        <v>-25.1693</v>
      </c>
    </row>
    <row r="1665" spans="3:3">
      <c r="C1665" s="124">
        <v>-25.1919</v>
      </c>
    </row>
    <row r="1666" spans="3:3">
      <c r="C1666" s="124">
        <v>-25.216200000000001</v>
      </c>
    </row>
    <row r="1667" spans="3:3">
      <c r="C1667" s="124">
        <v>-25.240400000000001</v>
      </c>
    </row>
    <row r="1668" spans="3:3">
      <c r="C1668" s="124">
        <v>-25.266999999999999</v>
      </c>
    </row>
    <row r="1669" spans="3:3">
      <c r="C1669" s="124">
        <v>-25.290299999999998</v>
      </c>
    </row>
    <row r="1670" spans="3:3">
      <c r="C1670" s="124">
        <v>-25.310700000000001</v>
      </c>
    </row>
    <row r="1671" spans="3:3">
      <c r="C1671" s="124">
        <v>-25.336500000000001</v>
      </c>
    </row>
    <row r="1672" spans="3:3">
      <c r="C1672" s="124">
        <v>-25.361799999999999</v>
      </c>
    </row>
    <row r="1673" spans="3:3">
      <c r="C1673" s="124">
        <v>-25.3886</v>
      </c>
    </row>
    <row r="1674" spans="3:3">
      <c r="C1674" s="124">
        <v>-25.410699999999999</v>
      </c>
    </row>
    <row r="1675" spans="3:3">
      <c r="C1675" s="124">
        <v>-25.435500000000001</v>
      </c>
    </row>
    <row r="1676" spans="3:3">
      <c r="C1676" s="124">
        <v>-25.4619</v>
      </c>
    </row>
    <row r="1677" spans="3:3">
      <c r="C1677" s="124">
        <v>-25.488199999999999</v>
      </c>
    </row>
    <row r="1678" spans="3:3">
      <c r="C1678" s="124">
        <v>-25.513000000000002</v>
      </c>
    </row>
    <row r="1679" spans="3:3">
      <c r="C1679" s="124">
        <v>-25.54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PNE</vt:lpstr>
      <vt:lpstr>CTS(20240905)</vt:lpstr>
      <vt:lpstr>CTS(20180615)</vt:lpstr>
      <vt:lpstr>CYC(20240905)</vt:lpstr>
      <vt:lpstr>Sheet4</vt:lpstr>
      <vt:lpstr>APRO</vt:lpstr>
      <vt:lpstr>Apro_분석내용</vt:lpstr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김동우(DONGWOO KIM)[pasillas-kim]/선임/자동차.개발.미주.Stellantis</cp:lastModifiedBy>
  <dcterms:created xsi:type="dcterms:W3CDTF">2021-08-30T04:07:07Z</dcterms:created>
  <dcterms:modified xsi:type="dcterms:W3CDTF">2025-08-21T08:08:45Z</dcterms:modified>
</cp:coreProperties>
</file>